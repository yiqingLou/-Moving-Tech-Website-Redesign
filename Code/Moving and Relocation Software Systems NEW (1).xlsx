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d.docs.live.net/96e6b3f632bb5741/Documents/Moving Tech/Moving Software Comparisson/"/>
    </mc:Choice>
  </mc:AlternateContent>
  <xr:revisionPtr revIDLastSave="0" documentId="8_{D8A4BEC8-AFD7-446B-A8BF-053EFE6142D8}" xr6:coauthVersionLast="47" xr6:coauthVersionMax="47" xr10:uidLastSave="{00000000-0000-0000-0000-000000000000}"/>
  <bookViews>
    <workbookView xWindow="-28920" yWindow="-120" windowWidth="29040" windowHeight="15720" firstSheet="1" activeTab="1" xr2:uid="{00000000-000D-0000-FFFF-FFFF00000000}"/>
  </bookViews>
  <sheets>
    <sheet name="Search" sheetId="1" r:id="rId1"/>
    <sheet name="Companies" sheetId="2" r:id="rId2"/>
    <sheet name="Tools" sheetId="3" r:id="rId3"/>
    <sheet name="Sheet1" sheetId="4" state="hidden" r:id="rId4"/>
    <sheet name="duplicate" sheetId="5" state="hidden" r:id="rId5"/>
    <sheet name="Doubt" sheetId="7" r:id="rId6"/>
    <sheet name="AI Database" sheetId="8" r:id="rId7"/>
    <sheet name="AI OMNI Agent Recommend" sheetId="9" r:id="rId8"/>
    <sheet name="AI - Borrados" sheetId="10" r:id="rId9"/>
  </sheets>
  <definedNames>
    <definedName name="_xlnm._FilterDatabase" localSheetId="6" hidden="1">'AI Database'!$A$1:$G$472</definedName>
    <definedName name="_xlnm._FilterDatabase" localSheetId="1" hidden="1">Companies!$A$1:$AC$154</definedName>
    <definedName name="_xlnm._FilterDatabase" localSheetId="2" hidden="1">Tools!$A$1:$AL$46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4" i="2" l="1"/>
  <c r="P144" i="2"/>
  <c r="L144" i="2"/>
  <c r="H144" i="2"/>
  <c r="G144" i="2"/>
  <c r="U143" i="2"/>
  <c r="P143" i="2"/>
  <c r="L143" i="2"/>
  <c r="H143" i="2"/>
  <c r="G143" i="2"/>
  <c r="H139" i="2"/>
  <c r="H140" i="2"/>
  <c r="H141" i="2"/>
  <c r="H142" i="2"/>
  <c r="H145" i="2"/>
  <c r="H146" i="2"/>
  <c r="H147" i="2"/>
  <c r="H148" i="2"/>
  <c r="H149" i="2"/>
  <c r="G149" i="2" s="1"/>
  <c r="H150" i="2"/>
  <c r="H151" i="2"/>
  <c r="H152" i="2"/>
  <c r="G152" i="2" s="1"/>
  <c r="H153" i="2"/>
  <c r="G153" i="2" s="1"/>
  <c r="H154" i="2"/>
  <c r="G154" i="2" s="1"/>
  <c r="L139" i="2"/>
  <c r="L140" i="2"/>
  <c r="L141" i="2"/>
  <c r="L142" i="2"/>
  <c r="L145" i="2"/>
  <c r="L146" i="2"/>
  <c r="L147" i="2"/>
  <c r="L148" i="2"/>
  <c r="L149" i="2"/>
  <c r="L150" i="2"/>
  <c r="L151" i="2"/>
  <c r="L152" i="2"/>
  <c r="L153" i="2"/>
  <c r="L154" i="2"/>
  <c r="P139" i="2"/>
  <c r="U139" i="2"/>
  <c r="P140" i="2"/>
  <c r="U140" i="2"/>
  <c r="P141" i="2"/>
  <c r="U141" i="2"/>
  <c r="P142" i="2"/>
  <c r="U142" i="2"/>
  <c r="P145" i="2"/>
  <c r="U145" i="2"/>
  <c r="P146" i="2"/>
  <c r="U146" i="2"/>
  <c r="P147" i="2"/>
  <c r="U147" i="2"/>
  <c r="P148" i="2"/>
  <c r="U148" i="2"/>
  <c r="P149" i="2"/>
  <c r="U149" i="2"/>
  <c r="P150" i="2"/>
  <c r="U150" i="2"/>
  <c r="P151" i="2"/>
  <c r="U151" i="2"/>
  <c r="P152" i="2"/>
  <c r="U152" i="2"/>
  <c r="P153" i="2"/>
  <c r="U153" i="2"/>
  <c r="P154" i="2"/>
  <c r="U154" i="2"/>
  <c r="P138" i="2"/>
  <c r="U138" i="2"/>
  <c r="L138" i="2"/>
  <c r="H138" i="2"/>
  <c r="G138" i="2" s="1"/>
  <c r="U137" i="2"/>
  <c r="P137" i="2"/>
  <c r="H137" i="2"/>
  <c r="L137" i="2"/>
  <c r="L51" i="2"/>
  <c r="G137" i="2"/>
  <c r="U134" i="2"/>
  <c r="U135" i="2"/>
  <c r="U51" i="2"/>
  <c r="P134" i="2"/>
  <c r="P135" i="2"/>
  <c r="P51" i="2"/>
  <c r="L134" i="2"/>
  <c r="L135" i="2"/>
  <c r="H134" i="2"/>
  <c r="G134" i="2" s="1"/>
  <c r="H135" i="2"/>
  <c r="H51" i="2"/>
  <c r="G51" i="2" s="1"/>
  <c r="U8" i="2"/>
  <c r="P8" i="2"/>
  <c r="L8" i="2"/>
  <c r="H8" i="2"/>
  <c r="U41" i="2"/>
  <c r="P41" i="2"/>
  <c r="L41" i="2"/>
  <c r="H41" i="2"/>
  <c r="U5" i="2"/>
  <c r="P5" i="2"/>
  <c r="L5" i="2"/>
  <c r="H5" i="2"/>
  <c r="U115" i="2"/>
  <c r="P115" i="2"/>
  <c r="L115" i="2"/>
  <c r="H115" i="2"/>
  <c r="U114" i="2"/>
  <c r="P114" i="2"/>
  <c r="L114" i="2"/>
  <c r="H114" i="2"/>
  <c r="U55" i="2"/>
  <c r="P55" i="2"/>
  <c r="L55" i="2"/>
  <c r="H55" i="2"/>
  <c r="U49" i="2"/>
  <c r="P49" i="2"/>
  <c r="L49" i="2"/>
  <c r="H49" i="2"/>
  <c r="U113" i="2"/>
  <c r="P113" i="2"/>
  <c r="L113" i="2"/>
  <c r="H113" i="2"/>
  <c r="U98" i="2"/>
  <c r="P98" i="2"/>
  <c r="L98" i="2"/>
  <c r="H98" i="2"/>
  <c r="U30" i="2"/>
  <c r="P30" i="2"/>
  <c r="L30" i="2"/>
  <c r="H30" i="2"/>
  <c r="U97" i="2"/>
  <c r="P97" i="2"/>
  <c r="L97" i="2"/>
  <c r="H97" i="2"/>
  <c r="U96" i="2"/>
  <c r="P96" i="2"/>
  <c r="L96" i="2"/>
  <c r="H96" i="2"/>
  <c r="U73" i="2"/>
  <c r="P73" i="2"/>
  <c r="L73" i="2"/>
  <c r="H73" i="2"/>
  <c r="U59" i="2"/>
  <c r="P59" i="2"/>
  <c r="L59" i="2"/>
  <c r="H59" i="2"/>
  <c r="U45" i="2"/>
  <c r="P45" i="2"/>
  <c r="L45" i="2"/>
  <c r="H45" i="2"/>
  <c r="U23" i="2"/>
  <c r="P23" i="2"/>
  <c r="L23" i="2"/>
  <c r="H23" i="2"/>
  <c r="U46" i="2"/>
  <c r="P46" i="2"/>
  <c r="L46" i="2"/>
  <c r="H46" i="2"/>
  <c r="U35" i="2"/>
  <c r="P35" i="2"/>
  <c r="L35" i="2"/>
  <c r="H35" i="2"/>
  <c r="U72" i="2"/>
  <c r="P72" i="2"/>
  <c r="L72" i="2"/>
  <c r="H72" i="2"/>
  <c r="U120" i="2"/>
  <c r="P120" i="2"/>
  <c r="L120" i="2"/>
  <c r="H120" i="2"/>
  <c r="U119" i="2"/>
  <c r="P119" i="2"/>
  <c r="L119" i="2"/>
  <c r="H119" i="2"/>
  <c r="U47" i="2"/>
  <c r="P47" i="2"/>
  <c r="L47" i="2"/>
  <c r="H47" i="2"/>
  <c r="U33" i="2"/>
  <c r="P33" i="2"/>
  <c r="L33" i="2"/>
  <c r="H33" i="2"/>
  <c r="U133" i="2"/>
  <c r="P133" i="2"/>
  <c r="L133" i="2"/>
  <c r="H133" i="2"/>
  <c r="U95" i="2"/>
  <c r="P95" i="2"/>
  <c r="L95" i="2"/>
  <c r="H95" i="2"/>
  <c r="U94" i="2"/>
  <c r="P94" i="2"/>
  <c r="L94" i="2"/>
  <c r="H94" i="2"/>
  <c r="U54" i="2"/>
  <c r="P54" i="2"/>
  <c r="L54" i="2"/>
  <c r="H54" i="2"/>
  <c r="U18" i="2"/>
  <c r="P18" i="2"/>
  <c r="L18" i="2"/>
  <c r="H18" i="2"/>
  <c r="U17" i="2"/>
  <c r="P17" i="2"/>
  <c r="L17" i="2"/>
  <c r="H17" i="2"/>
  <c r="U93" i="2"/>
  <c r="P93" i="2"/>
  <c r="L93" i="2"/>
  <c r="H93" i="2"/>
  <c r="U92" i="2"/>
  <c r="P92" i="2"/>
  <c r="L92" i="2"/>
  <c r="H92" i="2"/>
  <c r="U16" i="2"/>
  <c r="P16" i="2"/>
  <c r="L16" i="2"/>
  <c r="H16" i="2"/>
  <c r="U7" i="2"/>
  <c r="P7" i="2"/>
  <c r="L7" i="2"/>
  <c r="H7" i="2"/>
  <c r="U29" i="2"/>
  <c r="P29" i="2"/>
  <c r="L29" i="2"/>
  <c r="H29" i="2"/>
  <c r="U71" i="2"/>
  <c r="P71" i="2"/>
  <c r="L71" i="2"/>
  <c r="H71" i="2"/>
  <c r="U127" i="2"/>
  <c r="P127" i="2"/>
  <c r="L127" i="2"/>
  <c r="H127" i="2"/>
  <c r="U112" i="2"/>
  <c r="P112" i="2"/>
  <c r="L112" i="2"/>
  <c r="H112" i="2"/>
  <c r="U111" i="2"/>
  <c r="P111" i="2"/>
  <c r="L111" i="2"/>
  <c r="H111" i="2"/>
  <c r="U121" i="2"/>
  <c r="P121" i="2"/>
  <c r="L121" i="2"/>
  <c r="H121" i="2"/>
  <c r="U110" i="2"/>
  <c r="P110" i="2"/>
  <c r="L110" i="2"/>
  <c r="H110" i="2"/>
  <c r="U81" i="2"/>
  <c r="P81" i="2"/>
  <c r="L81" i="2"/>
  <c r="H81" i="2"/>
  <c r="U91" i="2"/>
  <c r="P91" i="2"/>
  <c r="L91" i="2"/>
  <c r="H91" i="2"/>
  <c r="U42" i="2"/>
  <c r="P42" i="2"/>
  <c r="L42" i="2"/>
  <c r="H42" i="2"/>
  <c r="U90" i="2"/>
  <c r="P90" i="2"/>
  <c r="L90" i="2"/>
  <c r="H90" i="2"/>
  <c r="U74" i="2"/>
  <c r="P74" i="2"/>
  <c r="L74" i="2"/>
  <c r="H74" i="2"/>
  <c r="U118" i="2"/>
  <c r="P118" i="2"/>
  <c r="L118" i="2"/>
  <c r="H118" i="2"/>
  <c r="U15" i="2"/>
  <c r="P15" i="2"/>
  <c r="L15" i="2"/>
  <c r="H15" i="2"/>
  <c r="G15" i="2" s="1"/>
  <c r="U89" i="2"/>
  <c r="P89" i="2"/>
  <c r="L89" i="2"/>
  <c r="H89" i="2"/>
  <c r="U28" i="2"/>
  <c r="P28" i="2"/>
  <c r="L28" i="2"/>
  <c r="H28" i="2"/>
  <c r="U70" i="2"/>
  <c r="P70" i="2"/>
  <c r="L70" i="2"/>
  <c r="H70" i="2"/>
  <c r="U31" i="2"/>
  <c r="P31" i="2"/>
  <c r="L31" i="2"/>
  <c r="H31" i="2"/>
  <c r="U109" i="2"/>
  <c r="P109" i="2"/>
  <c r="L109" i="2"/>
  <c r="H109" i="2"/>
  <c r="U80" i="2"/>
  <c r="P80" i="2"/>
  <c r="L80" i="2"/>
  <c r="H80" i="2"/>
  <c r="U34" i="2"/>
  <c r="P34" i="2"/>
  <c r="L34" i="2"/>
  <c r="H34" i="2"/>
  <c r="U79" i="2"/>
  <c r="P79" i="2"/>
  <c r="L79" i="2"/>
  <c r="H79" i="2"/>
  <c r="U66" i="2"/>
  <c r="P66" i="2"/>
  <c r="L66" i="2"/>
  <c r="H66" i="2"/>
  <c r="U22" i="2"/>
  <c r="P22" i="2"/>
  <c r="L22" i="2"/>
  <c r="H22" i="2"/>
  <c r="U132" i="2"/>
  <c r="P132" i="2"/>
  <c r="L132" i="2"/>
  <c r="H132" i="2"/>
  <c r="U58" i="2"/>
  <c r="P58" i="2"/>
  <c r="L58" i="2"/>
  <c r="H58" i="2"/>
  <c r="U69" i="2"/>
  <c r="P69" i="2"/>
  <c r="L69" i="2"/>
  <c r="H69" i="2"/>
  <c r="U48" i="2"/>
  <c r="P48" i="2"/>
  <c r="L48" i="2"/>
  <c r="H48" i="2"/>
  <c r="U44" i="2"/>
  <c r="P44" i="2"/>
  <c r="L44" i="2"/>
  <c r="H44" i="2"/>
  <c r="U64" i="2"/>
  <c r="P64" i="2"/>
  <c r="L64" i="2"/>
  <c r="H64" i="2"/>
  <c r="U108" i="2"/>
  <c r="P108" i="2"/>
  <c r="L108" i="2"/>
  <c r="H108" i="2"/>
  <c r="U57" i="2"/>
  <c r="P57" i="2"/>
  <c r="L57" i="2"/>
  <c r="H57" i="2"/>
  <c r="U37" i="2"/>
  <c r="P37" i="2"/>
  <c r="L37" i="2"/>
  <c r="H37" i="2"/>
  <c r="U107" i="2"/>
  <c r="P107" i="2"/>
  <c r="L107" i="2"/>
  <c r="H107" i="2"/>
  <c r="U106" i="2"/>
  <c r="P106" i="2"/>
  <c r="L106" i="2"/>
  <c r="H106" i="2"/>
  <c r="G106" i="2" s="1"/>
  <c r="U105" i="2"/>
  <c r="P105" i="2"/>
  <c r="L105" i="2"/>
  <c r="H105" i="2"/>
  <c r="U4" i="2"/>
  <c r="P4" i="2"/>
  <c r="L4" i="2"/>
  <c r="H4" i="2"/>
  <c r="U104" i="2"/>
  <c r="P104" i="2"/>
  <c r="L104" i="2"/>
  <c r="H104" i="2"/>
  <c r="U126" i="2"/>
  <c r="P126" i="2"/>
  <c r="L126" i="2"/>
  <c r="H126" i="2"/>
  <c r="U3" i="2"/>
  <c r="P3" i="2"/>
  <c r="L3" i="2"/>
  <c r="H3" i="2"/>
  <c r="U68" i="2"/>
  <c r="P68" i="2"/>
  <c r="L68" i="2"/>
  <c r="H68" i="2"/>
  <c r="U43" i="2"/>
  <c r="P43" i="2"/>
  <c r="L43" i="2"/>
  <c r="H43" i="2"/>
  <c r="U14" i="2"/>
  <c r="P14" i="2"/>
  <c r="L14" i="2"/>
  <c r="H14" i="2"/>
  <c r="U2" i="2"/>
  <c r="P2" i="2"/>
  <c r="L2" i="2"/>
  <c r="H2" i="2"/>
  <c r="U39" i="2"/>
  <c r="P39" i="2"/>
  <c r="L39" i="2"/>
  <c r="H39" i="2"/>
  <c r="U67" i="2"/>
  <c r="P67" i="2"/>
  <c r="L67" i="2"/>
  <c r="H67" i="2"/>
  <c r="U88" i="2"/>
  <c r="P88" i="2"/>
  <c r="L88" i="2"/>
  <c r="H88" i="2"/>
  <c r="U87" i="2"/>
  <c r="P87" i="2"/>
  <c r="L87" i="2"/>
  <c r="H87" i="2"/>
  <c r="U78" i="2"/>
  <c r="P78" i="2"/>
  <c r="L78" i="2"/>
  <c r="H78" i="2"/>
  <c r="U56" i="2"/>
  <c r="P56" i="2"/>
  <c r="L56" i="2"/>
  <c r="H56" i="2"/>
  <c r="U136" i="2"/>
  <c r="P136" i="2"/>
  <c r="L136" i="2"/>
  <c r="H136" i="2"/>
  <c r="U125" i="2"/>
  <c r="P125" i="2"/>
  <c r="L125" i="2"/>
  <c r="H125" i="2"/>
  <c r="G125" i="2" s="1"/>
  <c r="U36" i="2"/>
  <c r="P36" i="2"/>
  <c r="L36" i="2"/>
  <c r="H36" i="2"/>
  <c r="U65" i="2"/>
  <c r="P65" i="2"/>
  <c r="L65" i="2"/>
  <c r="H65" i="2"/>
  <c r="U103" i="2"/>
  <c r="P103" i="2"/>
  <c r="L103" i="2"/>
  <c r="H103" i="2"/>
  <c r="U13" i="2"/>
  <c r="P13" i="2"/>
  <c r="L13" i="2"/>
  <c r="H13" i="2"/>
  <c r="U38" i="2"/>
  <c r="P38" i="2"/>
  <c r="L38" i="2"/>
  <c r="H38" i="2"/>
  <c r="U117" i="2"/>
  <c r="P117" i="2"/>
  <c r="L117" i="2"/>
  <c r="H117" i="2"/>
  <c r="U86" i="2"/>
  <c r="P86" i="2"/>
  <c r="L86" i="2"/>
  <c r="H86" i="2"/>
  <c r="U85" i="2"/>
  <c r="P85" i="2"/>
  <c r="L85" i="2"/>
  <c r="H85" i="2"/>
  <c r="U84" i="2"/>
  <c r="P84" i="2"/>
  <c r="L84" i="2"/>
  <c r="H84" i="2"/>
  <c r="U12" i="2"/>
  <c r="P12" i="2"/>
  <c r="L12" i="2"/>
  <c r="H12" i="2"/>
  <c r="U131" i="2"/>
  <c r="P131" i="2"/>
  <c r="L131" i="2"/>
  <c r="H131" i="2"/>
  <c r="U116" i="2"/>
  <c r="P116" i="2"/>
  <c r="L116" i="2"/>
  <c r="H116" i="2"/>
  <c r="U27" i="2"/>
  <c r="P27" i="2"/>
  <c r="L27" i="2"/>
  <c r="H27" i="2"/>
  <c r="U11" i="2"/>
  <c r="P11" i="2"/>
  <c r="L11" i="2"/>
  <c r="H11" i="2"/>
  <c r="U32" i="2"/>
  <c r="P32" i="2"/>
  <c r="L32" i="2"/>
  <c r="H32" i="2"/>
  <c r="U124" i="2"/>
  <c r="P124" i="2"/>
  <c r="L124" i="2"/>
  <c r="H124" i="2"/>
  <c r="U10" i="2"/>
  <c r="P10" i="2"/>
  <c r="L10" i="2"/>
  <c r="H10" i="2"/>
  <c r="U83" i="2"/>
  <c r="P83" i="2"/>
  <c r="L83" i="2"/>
  <c r="H83" i="2"/>
  <c r="U130" i="2"/>
  <c r="P130" i="2"/>
  <c r="L130" i="2"/>
  <c r="H130" i="2"/>
  <c r="U123" i="2"/>
  <c r="P123" i="2"/>
  <c r="L123" i="2"/>
  <c r="H123" i="2"/>
  <c r="U26" i="2"/>
  <c r="P26" i="2"/>
  <c r="L26" i="2"/>
  <c r="H26" i="2"/>
  <c r="U63" i="2"/>
  <c r="P63" i="2"/>
  <c r="L63" i="2"/>
  <c r="H63" i="2"/>
  <c r="U53" i="2"/>
  <c r="P53" i="2"/>
  <c r="L53" i="2"/>
  <c r="H53" i="2"/>
  <c r="U77" i="2"/>
  <c r="P77" i="2"/>
  <c r="L77" i="2"/>
  <c r="H77" i="2"/>
  <c r="U102" i="2"/>
  <c r="P102" i="2"/>
  <c r="L102" i="2"/>
  <c r="H102" i="2"/>
  <c r="U62" i="2"/>
  <c r="P62" i="2"/>
  <c r="L62" i="2"/>
  <c r="H62" i="2"/>
  <c r="U61" i="2"/>
  <c r="P61" i="2"/>
  <c r="L61" i="2"/>
  <c r="H61" i="2"/>
  <c r="U21" i="2"/>
  <c r="P21" i="2"/>
  <c r="L21" i="2"/>
  <c r="H21" i="2"/>
  <c r="U76" i="2"/>
  <c r="P76" i="2"/>
  <c r="L76" i="2"/>
  <c r="H76" i="2"/>
  <c r="U122" i="2"/>
  <c r="P122" i="2"/>
  <c r="L122" i="2"/>
  <c r="H122" i="2"/>
  <c r="U50" i="2"/>
  <c r="P50" i="2"/>
  <c r="L50" i="2"/>
  <c r="H50" i="2"/>
  <c r="U129" i="2"/>
  <c r="P129" i="2"/>
  <c r="L129" i="2"/>
  <c r="H129" i="2"/>
  <c r="U25" i="2"/>
  <c r="P25" i="2"/>
  <c r="L25" i="2"/>
  <c r="H25" i="2"/>
  <c r="U52" i="2"/>
  <c r="P52" i="2"/>
  <c r="L52" i="2"/>
  <c r="H52" i="2"/>
  <c r="U20" i="2"/>
  <c r="P20" i="2"/>
  <c r="L20" i="2"/>
  <c r="H20" i="2"/>
  <c r="U6" i="2"/>
  <c r="P6" i="2"/>
  <c r="L6" i="2"/>
  <c r="H6" i="2"/>
  <c r="U128" i="2"/>
  <c r="P128" i="2"/>
  <c r="L128" i="2"/>
  <c r="H128" i="2"/>
  <c r="U9" i="2"/>
  <c r="P9" i="2"/>
  <c r="L9" i="2"/>
  <c r="H9" i="2"/>
  <c r="U101" i="2"/>
  <c r="P101" i="2"/>
  <c r="L101" i="2"/>
  <c r="H101" i="2"/>
  <c r="U100" i="2"/>
  <c r="P100" i="2"/>
  <c r="L100" i="2"/>
  <c r="H100" i="2"/>
  <c r="U99" i="2"/>
  <c r="P99" i="2"/>
  <c r="L99" i="2"/>
  <c r="H99" i="2"/>
  <c r="U82" i="2"/>
  <c r="P82" i="2"/>
  <c r="L82" i="2"/>
  <c r="H82" i="2"/>
  <c r="U60" i="2"/>
  <c r="P60" i="2"/>
  <c r="L60" i="2"/>
  <c r="H60" i="2"/>
  <c r="U24" i="2"/>
  <c r="P24" i="2"/>
  <c r="L24" i="2"/>
  <c r="H24" i="2"/>
  <c r="U40" i="2"/>
  <c r="P40" i="2"/>
  <c r="L40" i="2"/>
  <c r="H40" i="2"/>
  <c r="U75" i="2"/>
  <c r="P75" i="2"/>
  <c r="L75" i="2"/>
  <c r="H75" i="2"/>
  <c r="U19" i="2"/>
  <c r="P19" i="2"/>
  <c r="L19" i="2"/>
  <c r="H19" i="2"/>
  <c r="G151" i="2" l="1"/>
  <c r="G150" i="2"/>
  <c r="G148" i="2"/>
  <c r="G136" i="2"/>
  <c r="G114" i="2"/>
  <c r="G61" i="2"/>
  <c r="G90" i="2"/>
  <c r="G135" i="2"/>
  <c r="G67" i="2"/>
  <c r="G113" i="2"/>
  <c r="G122" i="2"/>
  <c r="G41" i="2"/>
  <c r="G82" i="2"/>
  <c r="G103" i="2"/>
  <c r="G147" i="2"/>
  <c r="G146" i="2"/>
  <c r="G145" i="2"/>
  <c r="G142" i="2"/>
  <c r="G141" i="2"/>
  <c r="G140" i="2"/>
  <c r="G139" i="2"/>
  <c r="G30" i="2"/>
  <c r="G98" i="2"/>
  <c r="G54" i="2"/>
  <c r="G45" i="2"/>
  <c r="G5" i="2"/>
  <c r="G96" i="2"/>
  <c r="G10" i="2"/>
  <c r="G37" i="2"/>
  <c r="G109" i="2"/>
  <c r="G28" i="2"/>
  <c r="G73" i="2"/>
  <c r="G49" i="2"/>
  <c r="G130" i="2"/>
  <c r="G85" i="2"/>
  <c r="G52" i="2"/>
  <c r="G8" i="2"/>
  <c r="G63" i="2"/>
  <c r="G127" i="2"/>
  <c r="G14" i="2"/>
  <c r="G88" i="2"/>
  <c r="G104" i="2"/>
  <c r="G22" i="2"/>
  <c r="G129" i="2"/>
  <c r="G128" i="2"/>
  <c r="G112" i="2"/>
  <c r="G131" i="2"/>
  <c r="G79" i="2"/>
  <c r="G120" i="2"/>
  <c r="G27" i="2"/>
  <c r="G87" i="2"/>
  <c r="G92" i="2"/>
  <c r="G20" i="2"/>
  <c r="G83" i="2"/>
  <c r="G56" i="2"/>
  <c r="G74" i="2"/>
  <c r="G70" i="2"/>
  <c r="G76" i="2"/>
  <c r="G77" i="2"/>
  <c r="G69" i="2"/>
  <c r="G110" i="2"/>
  <c r="G91" i="2"/>
  <c r="G117" i="2"/>
  <c r="G46" i="2"/>
  <c r="G50" i="2"/>
  <c r="G16" i="2"/>
  <c r="G101" i="2"/>
  <c r="G24" i="2"/>
  <c r="G66" i="2"/>
  <c r="G107" i="2"/>
  <c r="G3" i="2"/>
  <c r="G48" i="2"/>
  <c r="G94" i="2"/>
  <c r="G59" i="2"/>
  <c r="G36" i="2"/>
  <c r="G47" i="2"/>
  <c r="G123" i="2"/>
  <c r="G93" i="2"/>
  <c r="G6" i="2"/>
  <c r="G71" i="2"/>
  <c r="G44" i="2"/>
  <c r="G39" i="2"/>
  <c r="G126" i="2"/>
  <c r="G102" i="2"/>
  <c r="G99" i="2"/>
  <c r="G108" i="2"/>
  <c r="G105" i="2"/>
  <c r="G119" i="2"/>
  <c r="G133" i="2"/>
  <c r="G38" i="2"/>
  <c r="G18" i="2"/>
  <c r="G7" i="2"/>
  <c r="G53" i="2"/>
  <c r="G19" i="2"/>
  <c r="G116" i="2"/>
  <c r="G42" i="2"/>
  <c r="G95" i="2"/>
  <c r="G58" i="2"/>
  <c r="G72" i="2"/>
  <c r="G60" i="2"/>
  <c r="G75" i="2"/>
  <c r="G68" i="2"/>
  <c r="G86" i="2"/>
  <c r="G12" i="2"/>
  <c r="G111" i="2"/>
  <c r="G32" i="2"/>
  <c r="G34" i="2"/>
  <c r="G89" i="2"/>
  <c r="G9" i="2"/>
  <c r="G13" i="2"/>
  <c r="G65" i="2"/>
  <c r="G31" i="2"/>
  <c r="G23" i="2"/>
  <c r="G100" i="2"/>
  <c r="G80" i="2"/>
  <c r="G35" i="2"/>
  <c r="G40" i="2"/>
  <c r="G84" i="2"/>
  <c r="G132" i="2"/>
  <c r="G33" i="2"/>
  <c r="G11" i="2"/>
  <c r="G64" i="2"/>
  <c r="G124" i="2"/>
  <c r="G57" i="2"/>
  <c r="G17" i="2"/>
  <c r="G26" i="2"/>
  <c r="G4" i="2"/>
  <c r="G29" i="2"/>
  <c r="G62" i="2"/>
  <c r="G43" i="2"/>
  <c r="G121" i="2"/>
  <c r="G115" i="2"/>
  <c r="G21" i="2"/>
  <c r="B8" i="1" s="1" a="1"/>
  <c r="N8" i="1" s="1"/>
  <c r="G2" i="2"/>
  <c r="G81" i="2"/>
  <c r="G55" i="2"/>
  <c r="G25" i="2"/>
  <c r="G78" i="2"/>
  <c r="G118" i="2"/>
  <c r="G97" i="2"/>
  <c r="O8" i="1" l="1"/>
  <c r="Z8" i="1"/>
  <c r="AA8" i="1"/>
  <c r="C8" i="1"/>
  <c r="Q8" i="1"/>
  <c r="E8" i="1"/>
  <c r="D8" i="1"/>
  <c r="F8" i="1"/>
  <c r="R8" i="1"/>
  <c r="P8" i="1"/>
  <c r="S8" i="1"/>
  <c r="G8" i="1"/>
  <c r="H8" i="1"/>
  <c r="T8" i="1"/>
  <c r="U8" i="1"/>
  <c r="I8" i="1"/>
  <c r="J8" i="1"/>
  <c r="V8" i="1"/>
  <c r="K8" i="1"/>
  <c r="W8" i="1"/>
  <c r="X8" i="1"/>
  <c r="L8" i="1"/>
  <c r="B8" i="1"/>
  <c r="M8" i="1"/>
  <c r="Y8" i="1"/>
</calcChain>
</file>

<file path=xl/sharedStrings.xml><?xml version="1.0" encoding="utf-8"?>
<sst xmlns="http://schemas.openxmlformats.org/spreadsheetml/2006/main" count="8102" uniqueCount="3271">
  <si>
    <t>ICP and CRM Filter</t>
  </si>
  <si>
    <t>ICP</t>
  </si>
  <si>
    <t>International, Local</t>
  </si>
  <si>
    <t>CRM</t>
  </si>
  <si>
    <t>N</t>
  </si>
  <si>
    <t>Company Name</t>
  </si>
  <si>
    <t>Website</t>
  </si>
  <si>
    <t>Keywords</t>
  </si>
  <si>
    <t>Description</t>
  </si>
  <si>
    <t>Lead Management &amp; CRM</t>
  </si>
  <si>
    <t>Surveying</t>
  </si>
  <si>
    <t>Estimating &amp; Quoting</t>
  </si>
  <si>
    <t>Booking &amp; Job Initiation</t>
  </si>
  <si>
    <t>Move Coordination - Move Mgmt</t>
  </si>
  <si>
    <t>Dispatching &amp; Resource Mgmt</t>
  </si>
  <si>
    <t>Shipment Coordination</t>
  </si>
  <si>
    <t>Move Execution - Mobile Application for Crew - On Field Staff</t>
  </si>
  <si>
    <t>Warehouse &amp; Storage Mgmt</t>
  </si>
  <si>
    <t>Quality Assurance &amp; Claims</t>
  </si>
  <si>
    <t>Billing &amp; Accounts Receivable</t>
  </si>
  <si>
    <t>Purchasing &amp; Accounts Payable</t>
  </si>
  <si>
    <t>Accounting &amp; Reporting</t>
  </si>
  <si>
    <t>Human Resources (HR)</t>
  </si>
  <si>
    <t xml:space="preserve">Web or On Premise Installation </t>
  </si>
  <si>
    <t>Language</t>
  </si>
  <si>
    <t>Internal Notes</t>
  </si>
  <si>
    <t>BEST FOR</t>
  </si>
  <si>
    <t>Status</t>
  </si>
  <si>
    <t>Software Typology</t>
  </si>
  <si>
    <t>ALL IN</t>
  </si>
  <si>
    <t>FOR SALES</t>
  </si>
  <si>
    <t>LEAD MGMT</t>
  </si>
  <si>
    <t>SURVEYING</t>
  </si>
  <si>
    <t>QUOTING</t>
  </si>
  <si>
    <t>FOR MOVE MANAGERS</t>
  </si>
  <si>
    <t>JOB BOOKING</t>
  </si>
  <si>
    <t>MOVE MGMT</t>
  </si>
  <si>
    <t>QUALITY</t>
  </si>
  <si>
    <t>FOR OPERATIONS</t>
  </si>
  <si>
    <t>DISPATCH</t>
  </si>
  <si>
    <t>SHIPMENTS</t>
  </si>
  <si>
    <t>CREW APP</t>
  </si>
  <si>
    <t>STORAGE</t>
  </si>
  <si>
    <t>AS AN ERP</t>
  </si>
  <si>
    <t>AR</t>
  </si>
  <si>
    <t>AP</t>
  </si>
  <si>
    <t>GL/BANKING/REPORTING</t>
  </si>
  <si>
    <t>HR</t>
  </si>
  <si>
    <t>INSTALL</t>
  </si>
  <si>
    <t>LANGUAGE</t>
  </si>
  <si>
    <t>Notes and Features</t>
  </si>
  <si>
    <t>Move Plnr</t>
  </si>
  <si>
    <t>https://moveplnr.com/</t>
  </si>
  <si>
    <t>Local</t>
  </si>
  <si>
    <t>UNVERIFIED</t>
  </si>
  <si>
    <t>Crew &amp; field operations app</t>
  </si>
  <si>
    <t>CRM for moving companies covering sales, crew management, and accounting.</t>
  </si>
  <si>
    <t>Y</t>
  </si>
  <si>
    <t>Web Based</t>
  </si>
  <si>
    <t>English</t>
  </si>
  <si>
    <t>- LEAD MGMT *Y*: all-in-one CRM and marketing platform, combining website hosting, lead capture, and operational tools like AI-powered quoting and job scheduling.
- SURVEYING *N*: Not mentioned; focuses on quoting over surveys
- QUOTING *Y*: AI-powered quotes generated instantly and tailored to jobs.
- JOB BOOKING *Y*: Lead management flows into job scheduling
- MOVE MGMT *Y*: Job scheduling and route optimization included
- DISPATCH *Y*: Assign jobs, optimize routes, manage workloads.
- SHIPMENTS *Y*: Route optimization for jobs, but no advanced tracking.
- CREW APP *N*: No dedicated crew app specified
- STORAGE *N*: Not mentioned
- QUALITY *Y*: Customer feedback collection, but no claims process.
- AR *Y*: Automated invoicing, payment processing, QuickBooks integration
- AP *N*: No payables; inbound billing focus.
- ACCOUNTING *Y*: Performance analytics, ROI reports, live dashboards. ​
- HR *N*: Not mentioned
- INSTALL *Web Based*: 	SaaS with hosting
- LANGUAGE:English - 
- NOTES: Compared with other CRMs</t>
  </si>
  <si>
    <t>Accounting, CRM, Sales</t>
  </si>
  <si>
    <t>MoveDesk Crew</t>
  </si>
  <si>
    <t>https://play.google.com/store/apps/details?id=com.movedesk.crew.mobile</t>
  </si>
  <si>
    <t>All Movers</t>
  </si>
  <si>
    <t>Mobile crew management app for moving companies.</t>
  </si>
  <si>
    <t>Native App</t>
  </si>
  <si>
    <t>Multilingual</t>
  </si>
  <si>
    <t>- LEAD MGMT *N*: 
- SURVEYING *N*: 
- QUOTING *N*: 
- JOB BOOKING *N*: 
- MOVE MGMT *N*: 
- DISPATCH *N*: 
- SHIPMENTS *N*: 
- CREW APP *Y*: Crew field app – movers use it to manage all on-site job tasks: clock in/out, GPS tracking of crew, inventory and condition reporting, and customer sign-offs.
- STORAGE *N*: 
- QUALITY *Y*: Enhances service quality by ensuring crews follow digital checklists and report any issues in real time.
- AR *Y*: Records labor hours and any accessorial services for accurate billing (data goes to MoveDesk office system).
- AP *N*: 
- ACCOUNTING *Y*: Feeds data back to MoveDesk’s central system for reports on job times, crew performance, etc.
- HR *N*: 
- INSTALL *Native App*: Mobile app (cloud-connected to MoveDesk platform).
- LANGUAGE:Multilingual - English, possibly Dutch.
- NOTES: Moving companies (using MoveDesk software) – provides a paperless crew app to manage jobs on the go (time tracking, inventory, signatures), improving field efficiency and communication.</t>
  </si>
  <si>
    <t>Mobile App</t>
  </si>
  <si>
    <t>MoveMan Job (MoveMan Pro)</t>
  </si>
  <si>
    <t>https://www.movemanpro.com/products/moveman-job/</t>
  </si>
  <si>
    <t>KNOWN</t>
  </si>
  <si>
    <t>Job management software for moving crews with digital inventories and e-signatures.</t>
  </si>
  <si>
    <t>- LEAD MGMT *Y*: Integrates with MoveMan Pro CRM to follow each customer from initial enquiry through quote and booking
- SURVEYING *Y*: Crew can capture inventories and item conditions via the app (paperless survey and inventory list)
- QUOTING *Y*: Generates move quotes within MoveMan Pro from survey data and predefined rates (supports easy quoting)
- JOB BOOKING *Y*: Booked jobs are assigned to crews and appear in their mobile app automatically
- MOVE MGMT *Y*: Centralizes move workflow: office staff schedule jobs, crews get digital job sheets, and all status updates sync in real time
- DISPATCH *Y*: Dispatch calendar allocates crews/vehicles; live updates when crew clock in/out and start/finish jobs
- SHIPMENTS *N*: 
- CREW APP *Y*: Crew mobile app provides paperless job sheets, client signatures, and damage photo capture on-site
- STORAGE *N*: 
- QUALITY *Y*: App captures pre-existing and new damages with photos at origin and delivery to avoid later claims
- AR *Y*: Integrates with MoveMan accounting – completed jobs flow to invoicing (and QuickBooks, etc.)
- AP *N*: 
- ACCOUNTING *Y*: Management reports on job durations, materials used, labor hours captured via app
- HR *Y*: Records crew work times (clock-in/clock-out) and vehicle safety checks for compliance tracking
- INSTALL *Native App*: Mobile apps (Android/iOS) syncing to MoveMan Pro (on-prem or hosted)
- LANGUAGE:English - 
- NOTES: UK and European removal companies using MoveMan Pro</t>
  </si>
  <si>
    <t>Job management, Paparless</t>
  </si>
  <si>
    <t>Workiz</t>
  </si>
  <si>
    <t>Moving Business Management &amp; Scheduling Software - Workiz</t>
  </si>
  <si>
    <t>Local, RMC</t>
  </si>
  <si>
    <t>Field service management and CRM software for moving and storage companies.</t>
  </si>
  <si>
    <t>- LEAD MGMT *Y*: comprehensive operations platform with job management, team optimization, and revenue tools tailored for service-based moving businesses
- SURVEYING *Y*: Quick mobile estimates/invoicing
- QUOTING *Y*: Customizable estimates
- JOB BOOKING *Y*: Lead-to-job conversion, auto-assignment
- MOVE MGMT *Y*: Real-time job tracking, status updates
- DISPATCH *Y*: AI scheduling by skills/proximity/traffic
- SHIPMENTS *Y*: Route optimization, transit planning
- CREW APP *Y*: Field payments, GPS, customer comms.
- STORAGE *N*: 
- QUALITY *Y*: Automated review requests
- AR *Y*: In-field payments (Stripe/Sunbit), QuickBooks sync.
- AP *N*: Service operations focus
- ACCOUNTING *Y*: Revenue tracking, analytics dashboards.
- HR *Y*: 	Tech assignment, commission automation
- INSTALL *Web Based*: Cloud FSM with mobile apps.
- LANGUAGE:English - 
- NOTES: Service businesses (incl. moving companies) 	Primary US service focus</t>
  </si>
  <si>
    <t>CRM, Dispatch, GPS, Invoicing, Mobile App, Payments, Scheduling, Storage | AI Sales Automation, AI Dispatch/Optimization</t>
  </si>
  <si>
    <t>CargoEZ</t>
  </si>
  <si>
    <t>https://cargoez.com/</t>
  </si>
  <si>
    <t>International</t>
  </si>
  <si>
    <t>General logistics platform</t>
  </si>
  <si>
    <t>Platform for managing freight and logistics operations with shipment tracking.</t>
  </si>
  <si>
    <t>Cloud</t>
  </si>
  <si>
    <t>- LEAD MGMT *Y*: Manages contacts &amp; leads within the freight platform (CRM for shippers and clients)
- SURVEYING *N*: 
- QUOTING *Y*: Freight module generates shipment cost estimates and quotes for loads
- JOB BOOKING *Y*: Integrated booking of freight shipments and pickups directly in the platform
- MOVE MGMT *Y*: Coordinates domestic &amp; international freight operations with routing and multi-modal support
- DISPATCH *Y*: Optimizes delivery routes and schedules; dispatches shipments to carriers with real-time updates
- SHIPMENTS *Y*: Real-time tracking of shipments (GPS status updates for containers/trucks)
- CREW APP *Y*: Mobile app for logistics managers to monitor shipments, update statuses, and manage inventory on the go
- STORAGE *Y*: Warehouse Management System (WMS) module for inventory control and order fulfillment tasks
- QUALITY *N*: 
- AR *Y*: Finance dashboard tracks sales revenue and customer payments in real time
- AP *Y*: Expense tracking for freight costs to manage payable invoices (fuel, carrier fees)
- ACCOUNTING *Y*: Real-time analytics on logistics performance and shipment costs (reports on freight spend, transit times, etc.)
- HR *N*: 
- INSTALL *Cloud*: Cloud-based SaaS (web &amp; mobile access)
- LANGUAGE:English - 
- NOTES: Freight forwarders, van lines and moving companies handling shipping logistics who need an all-in-one freight management, tracking, and warehousing solution.</t>
  </si>
  <si>
    <t>Logistics, AI Automation, Supply chain</t>
  </si>
  <si>
    <t>Relocation Online</t>
  </si>
  <si>
    <t>https://www.relocationonline.com/</t>
  </si>
  <si>
    <t>RMC</t>
  </si>
  <si>
    <t>Platform for managing relocation logistics.</t>
  </si>
  <si>
    <t>- LEAD MGMT *N*: 
- SURVEYING *N*: 
- QUOTING *N*: 
- JOB BOOKING *Y*: Housing &amp; services booking for relocations
- MOVE MGMT *Y*: Integrated relocation planning (shipments, accommodation, immigration)
- DISPATCH *N*: 
- SHIPMENTS *Y*: Plan and track shipments
- CREW APP *N*: 
- STORAGE *N*: 
- QUALITY *N*: 
- AR *N*: 
- AP *N*: 
- ACCOUNTING *N*: 
- HR *N*: 
- INSTALL *Web Based*: Web SaaS
- LANGUAGE:English - 
- NOTES: Corporate relocation service coordination SaaS solution white labeled. Relo company that offers the tech also? Platform for Communicate, share required information, coordinate the whole process. HR access, and document mgmt</t>
  </si>
  <si>
    <t>Relocation Logistics, HR</t>
  </si>
  <si>
    <t>Yojee (Logistics Platform)</t>
  </si>
  <si>
    <t>https://yojee.com/</t>
  </si>
  <si>
    <t>Logistics software for the Asia-Pacific region including transport and freight management systems.</t>
  </si>
  <si>
    <t>- LEAD MGMT *N*: 
- SURVEYING *N*: 
- QUOTING *N*: 
- JOB BOOKING *N*: 
- MOVE MGMT *N*: 
- DISPATCH *Y*: Route planning &amp; dispatch automation
- SHIPMENTS *Y*: End-to-end shipment visibility – track freight and deliveries in real time, including hand-offs to partners while maintaining oversight.
- CREW APP *Y*: Driver mobile app – drivers receive jobs, get in-app navigation, and capture electronic Proof of Delivery (ePOD).
- STORAGE *N*: 
- QUALITY *N*: 
- AR *N*: 
- AP *N*: 
- ACCOUNTING *Y*: Real-time dashboards and analytics on fleet performance; customer ETA notifications (reporting &amp; customer comms).
- HR *N*: 
- INSTALL *Cloud*: Cloud-based SaaS (multi-tenant, with mobile apps).
- LANGUAGE:Multilingual - used in APAC.
- NOTES: Logistics and delivery operations – ideal for last-mile deliveries, courier networks, and 3PLs to dispatch and track shipments (though not specific to household moving).</t>
  </si>
  <si>
    <t>Asia-Pacific, Transport carrier management, Freight forwarders</t>
  </si>
  <si>
    <t>Benivo</t>
  </si>
  <si>
    <t>https://www.benivo.com/</t>
  </si>
  <si>
    <t>Immigration &amp; compliance platform</t>
  </si>
  <si>
    <t>Cloud-based mobility management platform for HR teams covering relocations, immigration tracking, document management, and integrations.</t>
  </si>
  <si>
    <t>- LEAD MGMT *N*: 
- SURVEYING *N*: 
- QUOTING *Y*: Cost estimation tool for relocations – predicts total costs and tax implications using real-time data
- JOB BOOKING *N*: 
- MOVE MGMT *Y*: End-to-end relocation management platform connecting HR, employees and vendors (household goods, temp housing, etc.) in one portal
- DISPATCH *N*: 
- SHIPMENTS *N*: 
- CREW APP *N*: 
- STORAGE *N*: 
- QUALITY *Y*: On-demand lump-sum and expense payments to employees or vendors in 20+ currencies (no bank fees, instant transfers)
- AR *Y*: Automates supplier payments and reimbursements (e.g. pay moving vendors or wire lump sums)
- AP *Y*: Real-time program analytics (cost tracking, compliance, employee satisfaction scores, ROI) for mobility programs
- ACCOUNTING *Y*: Integrates with HRIS and payroll for relocating employees; tracks immigration and tax compliance
- HR *N*: 
- INSTALL *Cloud*: Cloud (SaaS) platform
- LANGUAGE:Multilingual - 
- NOTES: Corporate global mobility programs and Relocation Management Companies – to manage employee relocations (including HHG moves via integrated movers) with lump-sum management, vendor payments, and analytics in one digital platform. Features include automated workflows, digital document management with e-signatures, real-time analytics, and cost estimation tools. The platform supports various relocation policies and provides dedicated portals for employees, their partners, HR personnel, and vendors. Integration capabilities extend to HRIS, payroll, and other enterprise systems.</t>
  </si>
  <si>
    <t>Corporate Mobility, HR Relocation, Immigration, Workflow Automation, HRIS, Cloud SaaS</t>
  </si>
  <si>
    <t>Equus Software (AssignmentPro)</t>
  </si>
  <si>
    <t>https://www.equusoft.com</t>
  </si>
  <si>
    <t>Mobility management platform for HR teams covering relocations, assignments, immigration, compliance, and reporting.</t>
  </si>
  <si>
    <t xml:space="preserve">English </t>
  </si>
  <si>
    <t>- LEAD MGMT *N*: 
- SURVEYING *N*: 
- QUOTING *Y*: Advanced cost projections &amp; compensation balance sheets for international assignments (integrated with AIRINC data)
- JOB BOOKING *N*: 
- MOVE MGMT *Y*: End-to-end assignment management – workflows, checklists, document management for relocations and expatriate assignments
- DISPATCH *N*: 
- SHIPMENTS *Y*: Integrates with moving partners via API (exchange move shipment data with movers’ systems) to give visibility on HHG shipments
- CREW APP *N*: 
- STORAGE *N*: 
- QUALITY *N*: 
- AR *Y*: Supports vendor invoice auditing and payroll instructions for assignment allowances; interfaces with financial systems for billing
- AP *N*: 
- ACCOUNTING *Y*: Comprehensive reporting on relocation costs, exceptions, and tax implications; dashboards for program metrics
- HR *Y*: Integrates with HRIS (employee data), payroll (expat compensation), immigration and travel compliance modules
- INSTALL *Cloud*: Cloud or On-Premise (enterprise deployment)
- LANGUAGE:English  - 
- NOTES: Large enterprises or relocation firms managing complex global mobility programs – handles everything from immigration, tax, and compensation to coordinating moving services (focus on mobility admin rather than operational move dispatch).</t>
  </si>
  <si>
    <t>Analytics, Compliance</t>
  </si>
  <si>
    <t>Expateo</t>
  </si>
  <si>
    <t>https://www.linkedin.com/products/altays-mobilit%C3%A9/</t>
  </si>
  <si>
    <t>Relocation management platform for HR teams supporting global relocations and immigration.</t>
  </si>
  <si>
    <t>- LEAD MGMT *N*: 
- SURVEYING *N*: 
- QUOTING *N*: 
- JOB BOOKING *N*: 
- MOVE MGMT *Y*: SaaS to streamline international employee mobility: assignment planning, document management, tracking an employee’s relocation lifecycle
- DISPATCH *Y*: Process Automation: Standardizes and automates relocation processes (checklists, approvals), auto-generating forms and tracking steps so nothing is missed during deployment or repatriation.
- SHIPMENTS *Y*: Policy &amp; Compliance: Allows HR to input mobility policies, monitor compliance (e.g., visa types, host country rules) and manage immigration procedures in-app for certain countries (e.g., France).
- CREW APP *Y*: Provides relocating employees with a digital personal assistant (“BIDAIA”) – a dashboard to store info, track their tasks, connect with HR and vendors, and manage their relocation checklist in real time.
- STORAGE *N*: 
- QUALITY *Y*: Ensures nothing falls through the cracks by tracking all tasks (e.g., visa deadlines, housing search updates) and allows feedback loops. GDPR compliance and secure data handling protect employee info.
- AR *Y*: Monitors relocation and assignment costs, enabling HR to analyze expenses per assignee and overall (the IPAR tool helps monitor mobility costs and budget for expatriation).
- AP *Y*: Can generate documentation for services and likely track when payments for allowances or vendors are due (e.g., rent payments, school fees)
- ACCOUNTING *Y*: Provides data on program performance (e.g., average cost per assignment, policy utilization) and can generate real-time reports on every aspect of the mobility program (assignments, expenses, compliance).
- HR *Y*: Designed as an HR digital solution, integrates with HR databases to pull employee info and push updates (e.g., assignment start/end dates)
- INSTALL *Cloud*: Cloud (SaaS): Fully web-based, secure platform (GDPR-compliant) accessible to HR teams and assignees anywhere.
- LANGUAGE:Multilingual - French/English
- NOTES: Global mobility programs – businesses managing expatriate assignments, international transfers, and all HR processes around talent mobility (with compliance focus, especially for French/EU companies).</t>
  </si>
  <si>
    <t>Logistics, Relocation management, HR, Immigration</t>
  </si>
  <si>
    <t>Ineo (Global Mobility)</t>
  </si>
  <si>
    <t>https://www.linkedin.com/products/expateo/</t>
  </si>
  <si>
    <t>Platform for managing international talent mobility including relocations, immigration compliance, and cost monitoring.</t>
  </si>
  <si>
    <t>- LEAD MGMT *N*: 
- SURVEYING *N*: 
- QUOTING *Y*: Cost estimation and global compensation tools (e.g., cost-of-living, tax, currency) to calculate assignment allowances and expenses upfront.
- JOB BOOKING *N*: 
- MOVE MGMT *Y*: Global mobility platform covering initiation, assignment planning, ongoing assignment management, and repatriation, integrates every aspect (comp, taxes, vendors)
- DISPATCH *Y*: Manages service partners within the workflow. It can issue service authorizations and track vendor deliverables, though dispatch is via integration rather than manual calls.
- SHIPMENTS *Y*: Keeps track of international shipments and relocations indirectly via integration – shipment status and delivery dates are recorded and available to stakeholders as part of the case.
- CREW APP *Y*: Mobile Capability: (Primarily web-based for mobility managers; may have employee self-service module for expenses.) Ineo’s focus is enterprise use, with mobile-responsive design for managers to approve on the go. Employees often access via a separate app for expenses and instructions.
- STORAGE *N*: 
- QUALITY *Y*: Enforces policy limits (e.g., what services an employee is allowed) and measures vendor performance and employee satisfaction via surveys. Also handles tax compliance (withholding and reporting) as a quality measure.
- AR *Y*: Finance modules: tracks all relocation expenses, integrates with GL for accruals, handles multi-currency accounting, and even automates tax gross-up and withholding calculations for payroll reporting.
- AP *Y*: Can manage vendor invoice auditing/approval and feed approved payments to AP systems. Also processes employee reimbursements within the platform, tying into AP or payroll for payment execution.
- ACCOUNTING *Y*: Extensive reporting capabilities (cost reports, exception reports, etc.). It incorporates tax logic to handle global tax compliance and reporting for assignments, making financial reporting and payroll updates
- HR *Y*: Integrates with HCM/HRIS, payroll, and talent systems to exchange data (assignment start/end, comp changes). Provides one source for HR, payroll, and mobility teams about each assignment’s status and costs.
- INSTALL *Cloud*: Cloud &amp; On-Prem: Historically offered on-premise, but now primarily a cloud-hosted solution (with multi-tenant or single-tenant options); integrates with corporate IT environments.
- LANGUAGE:English  - 
- NOTES: Enterprise global mobility – large organizations managing hundreds of international assignments/relocations, needing integrated compensation, tax, and workflow tools to ensure compliance and cost control.</t>
  </si>
  <si>
    <t>Compliance</t>
  </si>
  <si>
    <t>Localyze</t>
  </si>
  <si>
    <t>https://www.localyze.com/</t>
  </si>
  <si>
    <t>Global mobility platform for HR teams covering immigration, relocations, travel, and vendor management.</t>
  </si>
  <si>
    <t>- LEAD MGMT *N*: 
- SURVEYING *N*: 
- QUOTING *N*: 
- JOB BOOKING *N*: 
- MOVE MGMT *Y*: Global employee relocation management (visas, allowances)
- DISPATCH *N*: 
- SHIPMENTS *N*: 
- CREW APP *N*: 
- STORAGE *N*: 
- QUALITY *N*: 
- AR *N*: 
- AP *N*: 
- ACCOUNTING *N*: 
- HR *Y*: Supports corporate global mobility programs
- INSTALL *Cloud*: Cloud-based (web) platform
- LANGUAGE:English - 
- NOTES: Global employee relocations (corporate mobility)</t>
  </si>
  <si>
    <t>Move Safe</t>
  </si>
  <si>
    <t>https://www.movesafe.io/</t>
  </si>
  <si>
    <t>International, Local, RMC</t>
  </si>
  <si>
    <t>Self-service booking and compliance platform for household goods movers.</t>
  </si>
  <si>
    <t xml:space="preserve">- LEAD MGMT *N*: 
- SURVEYING *Y*: Real-time inventory builder for quotes.
- QUOTING *Y*: Customer self-service rate quoting.
- JOB BOOKING *Y*: Direct online reservations/payments.
- MOVE MGMT *N*: 
- DISPATCH *N*: 
- SHIPMENTS *N*: 
- CREW APP *N*: 
- STORAGE *N*: 
- QUALITY *N*: 
- AR *Y*: Stripe deposits, revenue splits.
- AP *N*: 
- ACCOUNTING *Y*: Booking analytics
- HR *N*: 
- INSTALL *Web Based*: 
- LANGUAGE:English - 
- NOTES: </t>
  </si>
  <si>
    <t>HHG, Analytics, Compliance, Inventory, Online Booking, Payments, Quoting, Inventory</t>
  </si>
  <si>
    <t>NuCompass (CoPilot)</t>
  </si>
  <si>
    <t>https://www.nucompass.com/</t>
  </si>
  <si>
    <t>Global relocation management software covering relocation logistics and immigration services.</t>
  </si>
  <si>
    <t>- LEAD MGMT *N*: 
- SURVEYING *N*: 
- QUOTING *N*: 
- JOB BOOKING *Y*: Manages the relocation process from authorization through to final financial reconciliation
- MOVE MGMT *Y*: Platform for corporate relocations that handles everything from policy management, supplier coordination, to employee support resources in an integrated way.
- DISPATCH *Y*: Connects all participants (HR, employee, vendors)
- SHIPMENTS *Y*: Tracks shipment and service statuses via integrated updates from providers, giving HR and employees real-time visibility into household goods moves, temporary housing, etc., in the dashboard (minimizing surprise delays).
- CREW APP *Y*: 
- STORAGE *N*: 
- QUALITY *Y*: Enforces the client’s relocation policy in the system (what services, caps, etc.), and includes feedback mechanisms and SLA monitoring for vendors to ensure quality.
- AR *Y*: Features expense management where employees can submit relocation expenses for reimbursement, and the system can track those against the employer’s budget and process payments. Also generates billing reports for any cost sharing between company and employee.
- AP *Y*: Integrates with payment systems to pay reimbursements and vendor invoices. For example, it can trigger an ACH to an employee for a submitted expense or to a mover for an approved invoice
- ACCOUNTING *Y*: Reporting on relocation activity, spend, exception management, etc. Also includes analytics to compare actual spend to policy caps and identify saving opportunities.
- HR *Y*: Includes policy management features, allowing HR to configure policy provisions. It also integrates with HR systems to automatically initiate relocations for new hires and update their status
- INSTALL *Cloud*: Cloud (SaaS): Yes – NuCompass CoPilot is an affordable cloud-based solution accessible via web; no on-prem requirement.
- LANGUAGE:English - 
- NOTES: Corporate relocation management – mid to large companies or RMCs needing a turnkey cloud platform to administer employee relocations (policy, expenses, tracking) with a self-service employee component.</t>
  </si>
  <si>
    <t>Logistics, corporate relotacions</t>
  </si>
  <si>
    <t>Relocity</t>
  </si>
  <si>
    <t>https://www.relocity.com/</t>
  </si>
  <si>
    <t>Platform for managing employee relocations including immigration and expenses.</t>
  </si>
  <si>
    <t>- LEAD MGMT *N*: 
- SURVEYING *N*: 
- QUOTING *N*: 
- JOB BOOKING *N*: 
- MOVE MGMT *Y*: Relocation concierge service managed via a platform that assigns each relocating employee a Personal Host for local, personalized support (from area tours to settling-in).
- DISPATCH *Y*: Personal Host Scheduling: The platform matches employees to a dedicated concierge (“host”) and schedules destination services (home search, school visits, etc.) through that host, rather than automated dispatch.
- SHIPMENTS *UNVERIFIED*: Destination Services: Coordinates all on-the-ground settling-in services (home finding, neighborhood tours, lease reviews, family assistance, etc.) and tracks their completion via the app.
- CREW APP *Y*: Provides a mobile app where transferees can chat with their host, access on-demand local information, view tasks, and receive updates – serving as a single point of contact during the move.
- STORAGE *N*: 
- QUALITY *Y*: Transferees can rate their experience. The platform’s feedback loop (including post-service evaluations) ensures quality control.
- AR *Y*: Service Bundling: Relocity bills the employer for the concierge services as a package;
- AP *N*: 
- ACCOUNTING *Y*: Insights: Provides corporate clients with reporting on usage and employee satisfaction, demonstrating ROI (e.g., showing increased retention due to smooth relocations).
- HR *Y*: 
- INSTALL *Cloud*: Cloud &amp; Mobile: SaaS platform plus a mobile app for the relocating employee; hosts use an internal dashboard to manage services.
- LANGUAGE:English - 
- NOTES: Premium VIP relocations – employers or individuals seeking a “white-glove” relocation experience with one-on-one personalized support for settling in (global concierge-style service).</t>
  </si>
  <si>
    <t>Employee Relocation, Immigration</t>
  </si>
  <si>
    <t>ReloTalent</t>
  </si>
  <si>
    <t>https://www.relotalent.com/</t>
  </si>
  <si>
    <t>Relocation management software for HR teams covering relocations, visas, and costs.</t>
  </si>
  <si>
    <t>- LEAD MGMT *N*: 
- SURVEYING *Y*: 
- QUOTING *Y*: Supports creating and tracking service cost estimates and quotes for various relocation services, which can be turned into service orders – and auto-fills forms to speed up proposal generation.
- JOB BOOKING *Y*: Allows initiation and booking of specific relocation services (home finding, school search, shipment, etc.) within the platform by assigning tasks to the appropriate provider or internal team member.
- MOVE MGMT *Y*: Central hub for all relocation stakeholders (relocation company staff, HR, assignee) to track and manage every aspect of a relocation case, with real-time collaboration and updates.
- DISPATCH *Y*: DSP/Partner Coordination: assign Destination Service Providers, immigration attorneys, etc., to a case and give them controlled access. Everyone works in one system instead of separate emails
- SHIPMENTS *Y*: Modules for immigration management (auto-populating visa forms, tracking visa progress) and for managing household goods shipments (tracking dates, documents). All service updates feed into the case timeline.
- CREW APP *Y*: Assignees can use a mobile app to view personalized relocation information, upload documents, see upcoming appointments, and even receive destination guides on the go. Providers can use a mobile interface to check tasks and input updates from the field.
- STORAGE *Y*: Includes an Expenses &amp; Accounting module where relocation expenses can be input and tracked. If storage or temporary accommodation is part of a relocation, those can be logged and managed
- QUALITY *Y*: Captures service quality data – e.g., assignee can fill an evaluation (“request an evaluation”) after service completion. Also, ReloTalent helps providers track their own team’s performance (time management, missed tasks)
- AR *Y*: Allows generating invoices for services provided to each client or assignee, and can track payment status. It consolidates billable items from different services into one invoice for the corporate client, simplifying AR for relocation firms.
- AP *Y*: Tracks vendor bills for outsourced services (immigration fees, temp housing costs, etc.) within each case so the relocation company knows what to pay out. It doesn’t pay them automatically, but provides a centralized ledger for payables per relocation.
- ACCOUNTING *Y*: Built-in reporting (assignment status, revenue, cost, and operational metrics). Relocation companies can run reports on number of relocations, profitability per client, service utilization, etc., and HR clients get reports on their relocating employees’ progress.
- HR *Y*: Offers a Global Mobility Portal giving HR visibility into all their employees’ relocations, statuses of immigration and destination services, and the ability to run reports, reducing the need for separate updates.
- INSTALL *Cloud*: Cloud (SaaS): Yes – fully cloud-based and accessible via web browser. Also provides open APIs/Webhooks for integrating with other systems (HRIS, etc.).
- LANGUAGE:Multilingual - developed in Singapore; supports multiple languages for interface and data input)
- NOTES: Relocation service providers &amp; HR teams – an all-in-one tool to automate relocation case workflows, from immigration to home search to expense management, for smoother service delivery to corporate clients and assignees.</t>
  </si>
  <si>
    <t>Relocation management, HR, Visa</t>
  </si>
  <si>
    <t>ReloTracker</t>
  </si>
  <si>
    <t>https://relotracker.com/</t>
  </si>
  <si>
    <t>Relocation management system for RMCs, DSPs, and immigration providers.</t>
  </si>
  <si>
    <t>- LEAD MGMT *Y*: Includes a web portal for corporate clients and relocating employees to view and update their cases, effectively functioning as a mini-CRM for relocation case contacts.
- SURVEYING *N*: 
- QUOTING *N*: 
- JOB BOOKING *Y*: Allows creation of new relocation files, assigning services and providers, and tracking every step until completion, replacing spreadsheets/Word documents in managing moves.
- MOVE MGMT *Y*: Web-based system to manage any number of relocation cases. It tracks all tasks, deadlines, and documents, and allows collaboration between relocation managers, clients, suppliers, and the transferee on one platform.
- DISPATCH *Y*: Global DSP Coordination:assign remote Destination Service Providers as home or host consultants in the system, and give immigration service providers access to view/update relevant parts of the case
- SHIPMENTS *Y*: Tracks each relocation service (shipments, home search, schooling, etc.) by logging milestones and statuses. For example, it can show when household goods have loaded, shipped, and delivered, as input by the provider or relocation manager, ensuring shipments are on track.
- CREW APP *Y*: ReloTracker has a mobile app for relocating employees. Through it, transferees can see real-time information about their move, upload required documents, view key dates (like lease start or pack/load dates), and receive alerts (e.g., visa expiration reminders).
- STORAGE *N*: 
- QUALITY *Y*: Ensures nothing is forgotten by tracking tasks and alerting users to expirations (e.g., document expirations). It also lets you request an evaluation from transferees for quality measurement. Time management and productivity features help measure internal service quality too.
- AR *Y*: Can generate and send invoices for relocation services. It collects billable work (logged time, fixed fees, third-party costs) and produces invoices to corporate clients, making sure invoicing is prompt and nothing billable is missed.
- AP *Y*: Through its finance section, it can record vendor bills (like an immigration lawyer’s fee or temp housing invoice) under each case and mark them as payable, which helps relocation companies keep track of what they owe suppliers and when, all within the system.
- ACCOUNTING *Y*: Reporting on all aspects (case status reports for clients, financial reports on revenues/costs, operational reports on service cycle times). Enables generating custom reports to analyze performance or fulfill client SLAs. Also, built-in time management and reporting ensures managers have full insight.
- HR *Y*: Corporate HR/mobility teams get access to see their employees’ relocation progress
- INSTALL *Cloud*: Cloud (Web-based): Yes – completely web-based SaaS. Clients and providers log in via browser; transferees via browser or mobile app. All data is centrally stored (addressing data privacy by restricting who can see what).
- LANGUAGE:Multilingual - and adaptable to other languages if needed
- NOTES: Relocation management system – used by relocation companies and DSPs worldwide to manage corporate relocations efficiently, with portals for clients and relocating employees (end-to-end service delivery and tracking).</t>
  </si>
  <si>
    <t>Logistics, Mobile App</t>
  </si>
  <si>
    <t>Abby (ABBYY)</t>
  </si>
  <si>
    <t>https://www.abbyy.com/solutions/transportation/</t>
  </si>
  <si>
    <t>International, RMC</t>
  </si>
  <si>
    <t>Integration / data platform</t>
  </si>
  <si>
    <t>Shipping document processing software for transportation and logistics. Includes document capture, data extraction, and API integration.</t>
  </si>
  <si>
    <t>- LEAD MGMT *N*: 
- SURVEYING *N*: 
- QUOTING *N*: 
- JOB BOOKING *N*: 
- MOVE MGMT *N*: 
- DISPATCH *N*: 
- SHIPMENTS *Y*: Automates logistics paperwork – e.g. extracts data from bills of lading, air waybills for faster shipment clearance
- CREW APP *N*: 
- STORAGE *N*: 
- QUALITY *N*: 
- AR *Y*: Automates invoice data entry to speed up billing cycles (OCR of commercial invoices)
- AP *Y*: Automates vendor invoice processing to streamline payables (OCR of supplier documents)
- ACCOUNTING *N*: 
- HR *N*: 
- INSTALL *Cloud*: Cloud or On‑Premise (ABBYY Vantage cloud or FlexiCapture on-site)
- LANGUAGE:Multilingual - supports English, Spanish, etc.)
- NOTES: Logistics and moving companies needing to digitize documents (invoices, waybills, contracts) and reduce manual data entry in workflows.</t>
  </si>
  <si>
    <t>AI, Logistics | AI Automation</t>
  </si>
  <si>
    <t>Chain.io</t>
  </si>
  <si>
    <t>https://chain.io/</t>
  </si>
  <si>
    <t>Integration platform for logistics and supply chain systems.</t>
  </si>
  <si>
    <t>- LEAD MGMT *N*: 
- SURVEYING *N*: 
- QUOTING *N*: 
- JOB BOOKING *N*: 
- MOVE MGMT *N*: 
- DISPATCH *N*: 
- SHIPMENTS *Y*: Supply chain integrations – connects TMS, freight systems, tracking platforms, etc., allowing automated data flow between partners.
- CREW APP *N*: 
- STORAGE *N*: 
- QUALITY *N*: 
- AR *N*: 
- AP *N*: 
- ACCOUNTING *Y*: Supports data analytics by consolidating info from multiple logistics systems into one view.
- HR *N*: 
- INSTALL *Cloud*: Cloud integration network.
- LANGUAGE:English  - 
- NOTES: Logistics and freight in moving supply chain – e.g. an international mover can use Chain.io to integrate their move management system with freight carriers, customs brokers, tracking tools for seamless shipment visibility.</t>
  </si>
  <si>
    <t>AI, Logistics, Supply chain</t>
  </si>
  <si>
    <t>Digire</t>
  </si>
  <si>
    <t>https://digire.ai</t>
  </si>
  <si>
    <t>Shipment tracking platform for relocations and supply chains with visibility and ETA tracking.</t>
  </si>
  <si>
    <t>- LEAD MGMT *N*: 
- SURVEYING *N*: 
- QUOTING *N*: 
- JOB BOOKING *N*: Tracking starts post-shipment
- MOVE MGMT *Y*: Milestone tracking in shared views
- DISPATCH *N*: 
- SHIPMENTS *Y*: Global tracking (ocean/road/air).
- CREW APP *N*: 
- STORAGE *N*: 
- QUALITY *N*: 
- AR *N*: 
- AP *N*: 
- ACCOUNTING *Y*: 
- HR *N*: 
- INSTALL *Web Based*: 
- LANGUAGE:English - 
- NOTES: Simple client portal to track a move and share milestones. Mini APP style</t>
  </si>
  <si>
    <t>Moveware Connector (DataSights)</t>
  </si>
  <si>
    <t>https://datasights.co/integrations/moveware-connector-to-power-bi-excel-and-googlesheets/</t>
  </si>
  <si>
    <t>INACTIVE</t>
  </si>
  <si>
    <t>Data integration tool connecting Moveware with reporting and analytics platforms.</t>
  </si>
  <si>
    <t>- LEAD MGMT *N*: 
- SURVEYING *N*: 
- QUOTING *N*: 
- JOB BOOKING *N*: 
- MOVE MGMT *N*: 
- DISPATCH *N*: 
- SHIPMENTS *N*: 
- CREW APP *N*: 
- STORAGE *N*: 
- QUALITY *N*: 
- AR *N*: 
- AP *N*: 
- ACCOUNTING *Y*: Automates reporting – extracts and consolidates all Moveware data into a cloud database for easy reporting in Power BI, Excel, Google Sheets.
- HR *N*: 
- INSTALL *Cloud*: Cloud integration – no install for user; connector runs in cloud and feeds data to BI tools.
- LANGUAGE:English  - 
- NOTES: Moveware-using companies – enables seamless integration of Moveware’s move management data with business intelligence tools, so movers can analyze KPIs without manual exports.</t>
  </si>
  <si>
    <t>Data integration, Moving data</t>
  </si>
  <si>
    <t>TechMate International (FirstMate / SalesMate / LoadMate suite)</t>
  </si>
  <si>
    <t>www.techmateinternational.com</t>
  </si>
  <si>
    <t>Moving software provider with integrations and partnerships. Inactive.</t>
  </si>
  <si>
    <t>ON PREMISE</t>
  </si>
  <si>
    <t>- LEAD MGMT *Y*: Manage moving leads, opportunities, follow-ups.
- SURVEYING *Y*: Pre-move survey app (SalesMate mobile) to record household goods inventory and volume on-site.
- QUOTING *Y*: Estimating tools to generate quotes from survey data (using tariffs/rates).
- JOB BOOKING *Y*: Once estimate is accepted, FirstMate handles job creation/booking.
- MOVE MGMT *Y*: Move management via FirstMate: tracks move progress, tasks, coordinates shippers/agents.
- DISPATCH *Y*: Dispatch &amp; operations management (assign crews, trucks, schedule services) built into FirstMate.
- SHIPMENTS *Y*: Supports international shipment coordination (manage sea/air shipments, documents) – a focus for TechMate.
- CREW APP *Y*: LoadMate mobile app for crews to create digital inventories during packing/loading (barcode scanning, condition notes).
- STORAGE *Y*: Can track items in storage (vault management) and warehouse moves (TechMate supports moving &amp; storage companies).
- QUALITY *Y*: Quality control modules to document exceptions/damages and later handle claims (reduce errors with digital records).
- AR *Y*: Billing &amp; invoicing and A/R tracking (including storage billing).
- AP *Y*: A/P tracking for vendor bills (e.g. origin/destination agents, haulers).
- ACCOUNTING *Y*: Generates comprehensive financial and operational reports (sales, job costing, revenue).
- HR *Y*: Basic HR (employee/crew info, perhaps time tracking) but not a primary feature.
- INSTALL *ON PREMISE*: Primarily on-premise Windows-based suite (legacy), with some cloud/web updates under Jonas ownership.
- LANGUAGE:English  - 
- NOTES: Moving &amp; storage companies (domestic &amp; international) seeking an integrated system for sales, ops, and accounting (TechMate’s tools span the entire move process). The website is outdated, and the company seems to be out of business.</t>
  </si>
  <si>
    <t>Sales, Ops, Accounting</t>
  </si>
  <si>
    <t>Agoyu (Moving Quote App)</t>
  </si>
  <si>
    <t>https://agoyu.com/</t>
  </si>
  <si>
    <t>Lead generation / marketplace</t>
  </si>
  <si>
    <t>Consumer app for creating item inventories and generating moving cost estimates and comparisons.</t>
  </si>
  <si>
    <t>- LEAD MGMT *N*: 
- SURVEYING *Y*: AI self-survey – users scan their home with the app; AI identifies and counts furniture/items.
- QUOTING *Y*: Instant price quotes – calculates weight/volume and shows exact pricing from multiple reputable movers for that inventory.
- JOB BOOKING *Y*: Users can select a quote and book a mover through the platform.
- MOVE MGMT *Y*: Ccentralizing inventory and quote comparison.
- DISPATCH *N*: 
- SHIPMENTS *N*: 
- CREW APP *N*: 
- STORAGE *N*: 
- QUALITY *N*: 
- AR *N*: 
- AP *N*: 
- ACCOUNTING *N*: 
- HR *N*: 
- INSTALL *Native App*: Mobile app (iOS/Android) + cloud backend
- LANGUAGE:English  - 
- NOTES: Dutch ERP for logistics and transportation. Agoyu provides a DIY virtual survey and multiple competitive quotes using AI for pricing accuracy.</t>
  </si>
  <si>
    <t>AI, Consumers, Inventory, Comparison</t>
  </si>
  <si>
    <t>Compare My Move</t>
  </si>
  <si>
    <t>https://www.comparemymove.com/</t>
  </si>
  <si>
    <t>Consumer comparison platform with lead management tools for movers.</t>
  </si>
  <si>
    <t>- LEAD MGMT *Y*: Delivers removal leads to moving companies via an online marketplace.
- SURVEYING *N*: 
- QUOTING *Y*: Consumers receive multiple quotes by filling out one form; movers provide estimates externally
- JOB BOOKING *Y*: Customers choose a mover from the comparison; actual move booking is then handled by the chosen mover.
- MOVE MGMT *N*: 
- DISPATCH *N*: 
- SHIPMENTS *N*: 
- CREW APP *N*: 
- STORAGE *N*: 
- QUALITY *N*: 
- AR *N*: 
- AP *N*: 
- ACCOUNTING *N*: 
- HR *N*: 
- INSTALL *Web Based*: Web-based platform (lead generator website) with a partner lead-management login for movers.
- LANGUAGE:English  - 
- NOTES: Consumers seeking to compare moving quotes; partner removal companies use it to get new customer leads (mainly UK house removals). Compare My Move is a platform that allows users to compare quotes from moving companies. Limited additional information available online.</t>
  </si>
  <si>
    <t>Comparison platform, Manage Leads</t>
  </si>
  <si>
    <t>Encipher</t>
  </si>
  <si>
    <t>https://www.encipher.ca/ppc-for-movers</t>
  </si>
  <si>
    <t>Digital marketing agency providing PPC advertising services for moving companies.</t>
  </si>
  <si>
    <t>- LEAD MGMT *N*: 
- SURVEYING *N*: 
- QUOTING *N*: 
- JOB BOOKING *N*: 
- MOVE MGMT *N*: 
- DISPATCH *N*: 
- SHIPMENTS *N*: 
- CREW APP *N*: 
- STORAGE *N*: 
- QUALITY *N*: 
- AR *N*: 
- AP *N*: 
- ACCOUNTING *N*: 
- HR *N*: 
- INSTALL *Web Based*: 
- LANGUAGE:English - 
- NOTES: Jake Sloan &lt;jake@encipher.ca https://www.canva.com/design/DAGzvRcR25M/-j2jJ4TXUbIAUSd9TqnKug/view?utlId=hb955610e8e&amp;utm_campaign=designshare&amp;utm_medium=link2&amp;utm_content=DAGzvRcR25M&amp;utm_source=uniquelinks</t>
  </si>
  <si>
    <t>PPC, Marketing, Leads</t>
  </si>
  <si>
    <t>Getamover.co.uk</t>
  </si>
  <si>
    <t>https://www.getamover.co.uk/</t>
  </si>
  <si>
    <t>UK-based lead generation and comparison platform for removal companies.</t>
  </si>
  <si>
    <t>- LEAD MGMT *N*: 
- SURVEYING *N*: 
- QUOTING *Y*: Quote comparison – users fill one form and get up to 6 removal quotes from vetted local movers.
- JOB BOOKING *Y*: 
- MOVE MGMT *N*: 
- DISPATCH *N*: 
- SHIPMENTS *N*: 
- CREW APP *N*: 
- STORAGE *N*: 
- QUALITY *N*: 
- AR *N*: 
- AP *N*: 
- ACCOUNTING *N*: 
- HR *N*: 
- INSTALL *Web Based*: Web platform (marketplace site).
- LANGUAGE:English  - 
- NOTES: UK residents moving house – an online service to compare multiple removal quotes quickly and save on moving costs.</t>
  </si>
  <si>
    <t>Comparison, Online Booking, Quoting</t>
  </si>
  <si>
    <t>Network Leads</t>
  </si>
  <si>
    <t>https://www.network-leads.com/#/</t>
  </si>
  <si>
    <t>Lead generation and management platform for moving companies.</t>
  </si>
  <si>
    <t>- LEAD MGMT *Y*: Complete moving CRM – captures and imports leads from all sources, with automated lead nurturing via email/SMS.
- SURVEYING *Y*: Supports adding inventory details or using virtual survey assistants (AI-driven) to gather move info.
- QUOTING *Y*: Estimate generation – send branded quotes and binding estimates easily from within the CRM.
- JOB BOOKING *Y*: One-click booking converts a lead to a scheduled job, reserving dates and crews.
- MOVE MGMT *Y*: End-to-end operations management – manage each booked move from initial contact to final delivery
- DISPATCH *Y*: Dispatch &amp; scheduling tools – assign crews/trucks, plan routes; includes calendar and notifications for moves.
- SHIPMENTS *Y*: Handles interstate moves (tariff management, Bill of Lading generation) and tracks move status through to delivery.
- CREW APP *Y*: Crew app for inventory and updates; clients receive automated status updates.
- STORAGE *Y*: Basic storage module for movers who offer warehouse storage.
- QUALITY *Y*: AI virtual assistant helps ensure all details are captured accurately (reducing errors that lead to claims). Also has a claims log module.
- AR *Y*: Billing features included – take payments, generate invoices, track balances.
- AP *Y*: Handles payroll or contractor settlements (employee management features).
- ACCOUNTING *Y*: Reporting (sales, booking rates, revenue, marketing ROI) and dashboard analytics; can integrate with QuickBooks for accounting.
- HR *Y*: Employee management – track sales reps, crew assignments, and even run payroll reports.
- INSTALL *Cloud*: Cloud-based (web application) – no install, accessible anywhere.
- LANGUAGE:English  - 
- NOTES: Moving companies (especially US) – Network Leads is an all-in-one cloud software to manage everything from leads and marketing to dispatch, billing, and even automated customer communications, tailored for movers.</t>
  </si>
  <si>
    <t>Leads, Payments, Optimize schedules</t>
  </si>
  <si>
    <t>Reloadvisor (ReloAdvisor)</t>
  </si>
  <si>
    <t>https://reloadvisor.org/en/</t>
  </si>
  <si>
    <t>Platform connecting individuals planning international relocations with moving companies for quote generation.</t>
  </si>
  <si>
    <t>- LEAD MGMT *Y*: Generates international moving leads, distributed to movers via its online service.
- SURVEYING *N*: 
- QUOTING *Y*: 
- JOB BOOKING *Y*: After comparing quotes, users select a mover to book; the platform then hands off to that mover for job execution.
- MOVE MGMT *Y*: 
- DISPATCH *N*: 
- SHIPMENTS *N*: 
- CREW APP *N*: 
- STORAGE *N*: 
- QUALITY *Y*: Independent reviews and ratings formovers are provided, ensuring customers pick reputable movers.
- AR *N*: 
- AP *N*: 
- ACCOUNTING *N*: 
- HR *N*: 
- INSTALL *Web Based*: Web platform (no installation) for both consumers and moving company partners (with a partner dashboard).
- LANGUAGE:English  - 
- NOTES: Individuals planning an international move who want to compare options; moving companies use it to gain worldwide customer leads.</t>
  </si>
  <si>
    <t>AI, Inventory, Quoting | AI Pricing/Quoting, AI Inventory</t>
  </si>
  <si>
    <t>Unpakt</t>
  </si>
  <si>
    <t>https://www.unpakt.com</t>
  </si>
  <si>
    <t>Online platform for comparing and booking moving services based on inventory and location.</t>
  </si>
  <si>
    <t>- LEAD MGMT *N*: 
- SURVEYING *Y*: Customers create a detailed inventory online (items, furniture, etc.) which is used to generate exact quotes (no in-home survey needed)
- QUOTING *Y*: Instant quoting – provides binding quotes from multiple vetted moving companies for user’s specific move
- JOB BOOKING *Y*: Online booking – customer selects a quote and books the move online
- MOVE MGMT *N*: 
- DISPATCH *N*: 
- SHIPMENTS *N*: 
- CREW APP *N*: 
- STORAGE *N*: 
- QUALITY *Y*: If customer pays through Unpakt, movers must honor the Guaranteed Price (Unpakt mediates if any issues)
- AR *Y*: Handles customer payment processing and holds funds until move is done, releasing to mover, ensuring smooth billing (no surprise fees)
- AP *N*: 
- ACCOUNTING *N*: 
- HR *N*: 
- INSTALL *Web Based*: Web-based (and mobile-friendly) platform
- LANGUAGE:English - 
- NOTES: Consumers comparing moving options – Unpakt lets users compare quotes and book a licensed mover online instantly, with upfront pricing and no surprise charges. Movers benefit by getting prescreened, pre-paid jobs.</t>
  </si>
  <si>
    <t>Inventory, Moving services Comparison, Online Booking, Quoting</t>
  </si>
  <si>
    <t>Mr. Mover Software LLC</t>
  </si>
  <si>
    <t>http://www.MrMoverSoftware.com</t>
  </si>
  <si>
    <t>Moving ERP / CRM</t>
  </si>
  <si>
    <t>Desktop software for US-based movers covering job management and documentation.</t>
  </si>
  <si>
    <t>- LEAD MGMT *N*: 
- SURVEYING *N*: 
- QUOTING *N*: 
- JOB BOOKING *N*: 
- MOVE MGMT *N*: 
- DISPATCH *N*: 
- SHIPMENTS *N*: 
- CREW APP *N*: 
- STORAGE *N*: 
- QUALITY *N*: 
- AR *N*: 
- AP *N*: 
- ACCOUNTING *N*: 
- HR *N*: 
- INSTALL *ON PREMISE*: On-Premise: Presumably a locally installed system (info scarce).
- LANGUAGE:English - 
- NOTES: Small moving companies (intended to manage moving company operations; detailed features not publicly documented). Mr. Mover Software is a Windows-based system developed in 2002 for use in a local U.S. moving company. The system integrates with QuickBooks for accounting and supports external tools like Techmate or IGC for surveys. It is no longer modernized and uses an outdated interface. The developer also offers consulting. All operations are U.S.-based and the company appears to have limited active staff and support.</t>
  </si>
  <si>
    <t>Dispatch, US, Moving operations</t>
  </si>
  <si>
    <t>EWS - Vans</t>
  </si>
  <si>
    <t>www.ewsgroup.com/products/</t>
  </si>
  <si>
    <t>Vehicle and fleet management software for moving companies.</t>
  </si>
  <si>
    <t>- LEAD MGMT *N*: 
- SURVEYING *N*: 
- QUOTING *N*: 
- JOB BOOKING *N*: 
- MOVE MGMT *Y*: Move management platform (with Updater integration)
- DISPATCH *N*: 
- SHIPMENTS *N*: 
- CREW APP *N*: 
- STORAGE *N*: 
- QUALITY *N*: 
- AR *N*: 
- AP *N*: 
- ACCOUNTING *N*: 
- HR *N*: 
- INSTALL *Web Based*: Web/SaaS
- LANGUAGE:English - 
- NOTES: Moving companies (US)</t>
  </si>
  <si>
    <t>AI, Vehicle management, Operations</t>
  </si>
  <si>
    <t>SofFront Software</t>
  </si>
  <si>
    <t>https://www.soffront.com</t>
  </si>
  <si>
    <t>Web-based CRM with lead management and marketing tools, including a version for moving companies.</t>
  </si>
  <si>
    <t>- LEAD MGMT *Y*: Web-based CRM for moving leads with marketing automation (capture leads, automated follow-ups)
- SURVEYING *N*: 
- QUOTING *N*: 
- JOB BOOKING *N*: 
- MOVE MGMT *N*: 
- DISPATCH *N*: 
- SHIPMENTS *N*: 
- CREW APP *N*: 
- STORAGE *N*: 
- QUALITY *N*: 
- AR *N*: 
- AP *N*: 
- ACCOUNTING *Y*: Sales pipeline reporting and analytics (track deals from start to finish)
- HR *N*: 
- INSTALL *Cloud*: Cloud-based (fully web)
- LANGUAGE:English - 
- NOTES: Movers needing stand-alone CRM &amp; email marketing to manage leads (no operations modules).</t>
  </si>
  <si>
    <t>AI, CRM, Sales, Storage | AI Sales Automation, Lead management, Moving, Storage, Digital Marketing</t>
  </si>
  <si>
    <t>Moving Boxes (inventory app)</t>
  </si>
  <si>
    <t>https://www.scalan.de/projekt/spacious-house-for-big-family/</t>
  </si>
  <si>
    <t>Survey &amp; inventory tools</t>
  </si>
  <si>
    <t>App for organizing and managing moving boxes.</t>
  </si>
  <si>
    <t>- LEAD MGMT *N*: 
- SURVEYING *Y*: Enables creating a detailed inventory of moving boxes and their contents for a move (box-level item cataloging)
- QUOTING *N*: 
- JOB BOOKING *N*: 
- MOVE MGMT *N*: 
- DISPATCH *N*: 
- SHIPMENTS *N*: 
- CREW APP *N*: 
- STORAGE *Y*: Helps track boxes in storage or during transit to prevent loss or mix-ups
- QUALITY *N*: 
- AR *N*: 
- AP *N*: 
- ACCOUNTING *N*: 
- HR *N*: 
- INSTALL *Web Based*: Web-based app (self-hosted on web)
- LANGUAGE:English - 
- NOTES: Individuals or moving crews who need to organize and keep track of box contents during a move, minimizing lost items and simplifying unpacking (small-scale use).</t>
  </si>
  <si>
    <t>Organize bozes, Users, Moving Crews</t>
  </si>
  <si>
    <t>SurveyPlus VMC</t>
  </si>
  <si>
    <t>https://www.surveyplusvmc.com/our-clients</t>
  </si>
  <si>
    <t>Survey management software for moving companies.</t>
  </si>
  <si>
    <t>- LEAD MGMT *N*: 
- SURVEYING *Y*: Virtual pre-move survey service – provides experienced surveyors who conduct video surveys of clients’ homes on behalf of moving companies (especially useful after-hours or peak times).
- QUOTING *Y*: They deliver a cube sheet/estimate to the moving company after the video survey.
- JOB BOOKING *N*: 
- MOVE MGMT *N*: 
- DISPATCH *N*: 
- SHIPMENTS *N*: 
- CREW APP *N*: 
- STORAGE *N*: 
- QUALITY *N*: 
- AR *N*: 
- AP *N*: 
- ACCOUNTING *N*: 
- HR *N*: 
- INSTALL *Cloud*: Cloud-based scheduling dashboard for clients (moving companies) to book survey slots; no installation.
- LANGUAGE:English  - 
- NOTES: Moving &amp; relocation companies – SurveyPlus is an on-demand virtual survey service to cover overflow or off-hour surveys when in-house staff are unavailable, ensuring every client gets a professional survey and a smooth start to their move.</t>
  </si>
  <si>
    <t>Survey management</t>
  </si>
  <si>
    <t>Magic Home Inventory</t>
  </si>
  <si>
    <t>https://play.google.com/store/apps/details?id=net.twisterrob.inventory</t>
  </si>
  <si>
    <t>Mobile app for personal home inventory tracking.</t>
  </si>
  <si>
    <t>- LEAD MGMT *N*: 
- SURVEYING *Y*: Mobile app to catalog household items room-by-room with photos and categories
- QUOTING *Y*: Assists in estimating move volume by listing all items in a home (helps generate accurate move quotes)
- JOB BOOKING *N*: 
- MOVE MGMT *N*: 
- DISPATCH *N*: 
- SHIPMENTS *N*: 
- CREW APP *Y*: Android app with advanced search and visual charts for inventory (for crew or homeowner to view all items)
- STORAGE *N*: 
- QUALITY *N*: 
- AR *N*: 
- AP *N*: 
- ACCOUNTING *N*: 
- HR *N*: 
- INSTALL *Native App*: Mobile (Android) app
- LANGUAGE:English - 
- NOTES: Homeowners or movers needing a free tool to create a home inventory for moving or insurance purposes – best for organizing items and documenting contents pre-move.</t>
  </si>
  <si>
    <t>Inventory</t>
  </si>
  <si>
    <t>Mover Technologies</t>
  </si>
  <si>
    <t>www.movertechnologies.com</t>
  </si>
  <si>
    <t>Transport management platform with customer communication and route optimization.</t>
  </si>
  <si>
    <t>- LEAD MGMT *N*: 
- SURVEYING *N*: 
- QUOTING *N*: 
- JOB BOOKING *N*: 
- MOVE MGMT *Y*: Connects carriers, brokers, rental truck firms, and moving companies on one platform to share and manage moves
- DISPATCH *Y*: Optimizes route planning and scheduling to maximize truck loads and minimize empty miles (route optimization for moves)
- SHIPMENTS *Y*: Enables real-time tracking and load matching across partner networks (finding available trucks for posted loads in real time)
- CREW APP *N*: 
- STORAGE *N*: 
- QUALITY *N*: 
- AR *N*: 
- AP *N*: 
- ACCOUNTING *Y*: Offers analytics on route efficiency, load factor, and partner performance for data-driven decisions
- HR *N*: 
- INSTALL *Web Based*: Web-based collaborative platform
- LANGUAGE:English - 
- NOTES: Web not working. Large van lines, brokers, and logistics networks in the moving industry – a platform to exchange jobs, optimize routes, and integrate services among multiple moving and transportation partners (enhances efficiency and communication across the supply chain). Mover Technologies offers a transport management system designed for moving and logistics providers. It facilitates real-time communication with customers, live tracking, ETA updates, and allows customers to modify delivery preferences. The platform includes tools for managing order journeys and utilizes algorithms for route optimization. It connects carriers, relocation companies, rental truck/container companies, brokers, and movers with their customers, accounts, and drivers in real time. Note: It does not include a move management interface.</t>
  </si>
  <si>
    <t>Tranport management</t>
  </si>
  <si>
    <t>Live Switch</t>
  </si>
  <si>
    <t>https://www.liveswitch.com/</t>
  </si>
  <si>
    <t>Communication platform for service businesses including live video, photo capture, and checklists.</t>
  </si>
  <si>
    <t>- LEAD MGMT *N*: 
- SURVEYING *Y*: Virtual surveys via video calls, QR codes, self-recording for site details.
- QUOTING *Y*: Video-based asset capture aids estimates; integrates with quoting CRMs.
- JOB BOOKING *N*: 
- MOVE MGMT *Y*: Timeline views, checklists track job progress
- DISPATCH *N*: 
- SHIPMENTS *N*: 
- CREW APP *N*: 
- STORAGE *N*: 
- QUALITY *N*: 
- AR *N*: 
- AP *N*: 
- ACCOUNTING *Y*: 	In-app reports from assets, powerful search
- HR *N*: 
- INSTALL *Web Based*: Browser-based with unlimited cloud storage.
- LANGUAGE:English - 
- NOTES: Same as Yembo basically</t>
  </si>
  <si>
    <t>Communication, Project organization, Documentation, Customer Interaction</t>
  </si>
  <si>
    <t>Move Matcher</t>
  </si>
  <si>
    <t>https://www.movematcher.com/</t>
  </si>
  <si>
    <t>Mobile app for consumer self-surveys and mover comparison.</t>
  </si>
  <si>
    <t>- LEAD MGMT *N*: 
- SURVEYING *N*: 
- QUOTING *Y*: instantly shows users estimated moving costs (hourly rates or flat quotes) from multiple moving companies side by side.
- JOB BOOKING *N*: 
- MOVE MGMT *Y*: Self-Service Coord.: Helps customers to coordinate their move by choosing from a list of vetted movers and contacting their chosen mover directly.
- DISPATCH *N*: 
- SHIPMENTS *N*: 
- CREW APP *N*: 
- STORAGE *N*: 
- QUALITY *Y*: Includes mover profiles with customer reviews and ratings, helping ensure quality choices.
- AR *N*: 
- AP *N*: 
- ACCOUNTING *Y*: Helps users contain costs by comparing quotes; also gives corporate clients insight to predictable relocation spend when used for lump-sum programs.
- HR *N*: 
- INSTALL *Web Based*: Web Platform: Online service accessible via browser (no install needed).
- LANGUAGE:English - 
- NOTES: Transferee</t>
  </si>
  <si>
    <t>Inventory, Mobile App, Quoting, Scheduling</t>
  </si>
  <si>
    <t>Agepe (My-ART-Logistics)</t>
  </si>
  <si>
    <t>https://agepe.net/</t>
  </si>
  <si>
    <t>ERP software for fine art transport and general moving. Includes workflow management, tracking, condition reporting, and documentation.</t>
  </si>
  <si>
    <t>- LEAD MGMT *N*: Specialized ERP with project management, but lacks broad sales/lead features; focuses on operational logistics for art movers
- SURVEYING *N*: 
- QUOTING *N*: 
- JOB BOOKING *N*: 
- MOVE MGMT *Y*: Specialized ERP for art transport (packaging, climate control)
- DISPATCH *N*: 
- SHIPMENTS *Y*: Manages secure art shipments and documentation
- CREW APP *Y*: Mobile Worker app for on-site art handling
- STORAGE *Y*: Manages art inventory and project locations
- QUALITY *N*: 
- AR *N*: 
- AP *N*: 
- ACCOUNTING *Y*: Project results visibility and workflow analytics
- HR *N*: 
- INSTALL *Native App*: Web-based (Mendix) Cloud-based ERP (Mendix low-code platform)
- LANGUAGE:Multilingual - English, Dutch, French, German
- NOTES: Art and museum transportation software originally, but also claims to work as an ERP (MY-MOVE-Logistics) for movers (also Logistics, Relocaiton, Machinery movers, High Tech logistics). Developed for and by experts in removals, using the very latest technology: Mendix's low-code platform with endless integration possibilities. Available in 4 languages ... English, Dutch, French and German. MySurvey app, Mobile Worker App, Invoicing, Plan and Reserve</t>
  </si>
  <si>
    <t>Logistics, ERP, Art, Documentation</t>
  </si>
  <si>
    <t>Yembo (AI Virtual Survey)</t>
  </si>
  <si>
    <t>https://yembo.ai/</t>
  </si>
  <si>
    <t>AI-based inventory system for moving companies supporting virtual surveys.</t>
  </si>
  <si>
    <t>C</t>
  </si>
  <si>
    <t>- LEAD MGMT *Y*: Integrates with CRMs to capture leads into AI surveys (lead to survey in minutes).
- SURVEYING *Y*: AI-powered video surveys – customers or surveyors do a video walk-through, Yembo’s AI auto-detects and itemizes household goods.
- QUOTING *Y*: Automated estimate generation – creates detailed inventory and applies tariffs
- JOB BOOKING *C*: Conversion from surveyed quote to a booked job (client can e-sign quotes in-platform).
- MOVE MGMT *Y*: Streamlines the front-end move process; provides a dashboard for move coordinators to review AI results and adjust services.
- DISPATCH *N*: 
- SHIPMENTS *N*: 
- CREW APP *N*: 
- STORAGE *N*: 
- QUALITY *N*: 
- AR *Y*: Exports survey results to billing systems (ensure all items are billed).
- AP *N*: 
- ACCOUNTING *Y*: Supports analytics on survey metrics (e.g. survey volumes, conversion rates) for reporting.
- HR *N*: 
- INSTALL *Cloud*: Cloud-based (web portal for coordinators; mobile-friendly for clients).
- LANGUAGE:English  - 
- NOTES: Moving &amp; relocation companies – to conduct remote pre-move surveys and get instant, AI-driven inventories and quotes, speeding up sales and reducing survey costs. ($75/survey) and self-serve options ($99/month). Apps are branded for Allied, Sirva, and North American only.</t>
  </si>
  <si>
    <t>AI Inventory and quotes</t>
  </si>
  <si>
    <t>PARC Mobility (Plein Axe)</t>
  </si>
  <si>
    <t>https://play.google.com/store/apps/details?id=com.pleinaxe.parc2_mobility&amp;hl=en_CA</t>
  </si>
  <si>
    <t>Mobile app for relocation professionals including schedules, contacts, inventory capture, and e-signatures.</t>
  </si>
  <si>
    <t xml:space="preserve">French </t>
  </si>
  <si>
    <t>- LEAD MGMT *N*: 
- SURVEYING *Y*: Digital survey/inventory tool for sales reps – during the in-home visit, rep uses tablet to list all furniture by room, including photos, and obtains customer’s e-signature on the inventory.
- QUOTING *Y*: On-site quote generation – rep can prepare a professional moving estimate on the iPad before leaving the residence.
- JOB BOOKING *N*: 
- MOVE MGMT *Y*: Sales appointment management – auto-syncs the rep’s calendar, contacts, and pending opportunities so they have all info on the go.
- DISPATCH *N*: 
- SHIPMENTS *N*: 
- CREW APP *Y*: Works offline too: data entered will sync back to the core system (PARC software) when internet is available.
- STORAGE *N*: 
- QUALITY *N*: 
- AR *N*: 
- AP *N*: 
- ACCOUNTING *Y*: Reports and data from each survey (volume, conversion) flow into the main PARC system for analysis.
- HR *N*: 
- INSTALL *Native App*: Mobile app extension of PARC moving software (iOS/Android tablet).
- LANGUAGE:French  - designed for FR moving industry).
- NOTES: Removal companies (France) – a nomadic sales app for estimators: they can see their schedule, conduct surveys with inventory and photos, and get the client to sign off and receive a quote in one visit.</t>
  </si>
  <si>
    <t>AI, Inventory, Mobile App | AI Inventory, Relocation</t>
  </si>
  <si>
    <t>Move Survey Quote Pro (QuickMove)</t>
  </si>
  <si>
    <t>https://play.google.com/store/apps/details?id=com.quickmove.sa.survey</t>
  </si>
  <si>
    <t>Survey app for movers supporting item listing and estimates.</t>
  </si>
  <si>
    <t>- LEAD MGMT *N*: 
- SURVEYING *Y*: Virtual/pre-move survey app – sales reps can perform video or in-person surveys on a tablet, capturing inventory with photos and notes (supports client e-sign on the spot).
- QUOTING *Y*: On-the-spot quoting – generates a moving estimate during the survey visit for immediate presentation to the client.
- JOB BOOKING *Y*: Client can approve the quote and book the move at survey completion
- MOVE MGMT *Y*: Streamlines move initiation – all data from survey flows into the back-office QuickMove system for coordination.
- DISPATCH *N*: 
- SHIPMENTS *N*: 
- CREW APP *N*: 
- STORAGE *N*: 
- QUALITY *N*: 
- AR *N*: 
- AP *N*: 
- ACCOUNTING *Y*: Survey results and signed quotes sync to office for scheduling and billing (reporting on survey conversions).
- HR *N*: 
- INSTALL *Native App*: Mobile app (iPad/Android) that syncs with QuickMove’s cloud/back-office.
- LANGUAGE:English  - 
- NOTES: Moving companies (using QuickMove) – a survey/estimate app to empower sales estimators to do digital surveys and instantly quote/close moves, shortening the sales cycle. Lacks detailed functionalities.</t>
  </si>
  <si>
    <t>Survey</t>
  </si>
  <si>
    <t>Movers POE (Movers Portal of Entry)</t>
  </si>
  <si>
    <t>www.moverspoe.com</t>
  </si>
  <si>
    <t>Moving software with mobile surveys, tracking, document creation, and inventory lists.</t>
  </si>
  <si>
    <t>- LEAD MGMT *Y*: Provides a portal for moving companies to find and connect with overseas agents, generating B2B leads.
- SURVEYING *N*: 
- QUOTING *Y*: Describe a consignment and get destination service quotes from multiple movers in that country.
- JOB BOOKING *Y*: Connecting origin and destination agents via the portal.
- MOVE MGMT *Y*: Helps coordinate international moves by linking agents
- DISPATCH *N*: 
- SHIPMENTS *Y*: International agent coordination: origin agents can find destination partners and coordinate shipments.
- CREW APP *N*: 
- STORAGE *N*: 
- QUALITY *N*: 
- AR *N*: 
- AP *N*: 
- ACCOUNTING *N*: 
- HR *N*: 
- INSTALL *Web Based*: Web portal (online platform accessible via browser).
- LANGUAGE:English - 
- NOTES: International moving companies seeking overseas partners and instant rate quotes for destination/origin services. Website offers limited information. Clients include Shipeezi leads, such as Palmers Relo.</t>
  </si>
  <si>
    <t>Inventory, Mobile App, Quoting</t>
  </si>
  <si>
    <t>The Inventory Manager (TIM)</t>
  </si>
  <si>
    <t>https://www.theinventorymanager.co.uk/</t>
  </si>
  <si>
    <t>Property inspection and inventory reporting software for UK letting agents and property managers.</t>
  </si>
  <si>
    <t>- LEAD MGMT *N*: 
- SURVEYING *Y*: Enables digital inventory of rental property conditions (rooms, fixtures, etc.) during tenant move-in/out using predefined checklists.
- QUOTING *N*: 
- JOB BOOKING *UNVERIFIED*: 
- MOVE MGMT *Y*: Tenancy Move Mgmt: Manages the check-in/check-out process for rentals by recording condition reports
- DISPATCH *N*: 
- SHIPMENTS *N*: 
- CREW APP *Y*: Cross-platform app for inventory clerks to record property condition on-site with timestamped photos and digital signatures.
- STORAGE *N*: 
- QUALITY *Y*: PDF reports with date-stamped photos serve as evidence for any damage claims or deposit disputes, ensuring accountability.
- AR *N*: 
- AP *N*: 
- ACCOUNTING *Y*: Generates inventory/inspection reports for landlords and agencies; ensures compliance (e.g., smoke alarm checks).
- HR *N*: 
- INSTALL *Cloud*: Cloud/Mobile: SaaS with data syncing; works offline in the field and syncs when back online.
- LANGUAGE:Multilingual - used across UK lettings; UI also available in other languages for some clients)
- NOTES: Rental property moves – documenting move-in/move-out conditions for rentals (used by letting agents, inventory clerks – not for household goods moving). Reports are stored securely in UK-based Amazon data centers, with a 30-day window for updates. Integration with FixFlo allows direct reporting of maintenance issues.</t>
  </si>
  <si>
    <t>Compliance, Inventory, UK, Letting Agents, Property manager</t>
  </si>
  <si>
    <t>Talcasoft</t>
  </si>
  <si>
    <t>www.talcasoft.com.au</t>
  </si>
  <si>
    <t>Transport management software covering job booking, GPS tracking, driver communication, and invoicing.</t>
  </si>
  <si>
    <t>- LEAD MGMT *N*: 
- SURVEYING *N*: 
- QUOTING *Y*: Auto-generates move quotations based on distance, time, weight, service level, etc.,
- JOB BOOKING *Y*: Converts quotes to jobs and allocates them to drivers/teams (streamlined job booking)
- MOVE MGMT *Y*: Transport management system covering job planning from booking through delivery, with real-time updates on job progress
- DISPATCH *Y*: Delivery scheduling and route optimization with live GPS tracking of drivers; shares accurate ETA updates with customers
- SHIPMENTS *N*: 
- CREW APP *Y*: Driver mobile app for turn-by-turn navigation, digital proof-of-delivery capture, and live job updates back to office
- STORAGE *N*: 
- QUALITY *N*: 
- AR *Y*: Generates job invoices automatically upon completion; can integrate to accounting systems for AR tracking
- AP *N*: 
- ACCOUNTING *Y*: Operational reports (on-time delivery %, driver performance, cost per delivery) and GPS logs for analysis
- HR *N*: 
- INSTALL *Cloud*: Cloud-based (recently integrated into Locate2u platform)
- LANGUAGE:English - 
- NOTES: Mid-sized moving and delivery companies (especially in AU/NZ) needing to quote, schedule, and track deliveries efficiently – Talcasoft offers quoting, dispatch, GPS tracking, and electronic POD to streamline transport operations. The system can be customized to fit various industries and integrates with existing business applications.</t>
  </si>
  <si>
    <t>AI, GPS, Invoicing, Logistics, Mobile App, Online Booking, Payments, Storage</t>
  </si>
  <si>
    <t>Speedy Inventory</t>
  </si>
  <si>
    <t>www.speedymovinginventory.com</t>
  </si>
  <si>
    <t>Mobile app for creating and managing moving inventories.</t>
  </si>
  <si>
    <t>- LEAD MGMT *N*: 
- SURVEYING *Y*: Mobile &amp; cloud app for crews to record inventories with unlimited item photos and descriptions (replaces paper inventories)
- QUOTING *Y*: Automatically calculates weight/volume and even moving cost estimates from the digital inventory, improving quote accuracy
- JOB BOOKING *N*: 
- MOVE MGMT *N*: 
- DISPATCH *Y*: Integrates with any moving management software via open API (inventory data flows into dispatch/job orders)
- SHIPMENTS *N*: 
- CREW APP *Y*: Multi-user mobile app lets multiple crew members log inventory data simultaneously with real-time sync (photos, signatures)
- STORAGE *N*: 
- QUALITY *Y*: High-resolution photographic inventory and chain-of-custody tracking helps avoid lost items and speeds claim resolution (digital proof for claims)
- AR *Y*: Inventory outputs can be used to generate accurate invoices
- AP *N*: 
- ACCOUNTING *Y*: Real-time inventory status and crew productivity reports; exports data to spreadsheets for analysis of move density/cost
- HR *N*: 
- INSTALL *Cloud*: Cloud-based (open API, works on any device)
- LANGUAGE:English - 
- NOTES: Moving companies that want a fast, paperless inventory tool – Speedy Inventory reduces claim risks and speeds up surveying by letting crews create photo inventories and electronic manifests that integrate with their existing move software.</t>
  </si>
  <si>
    <t>Mobile App, Inventory</t>
  </si>
  <si>
    <t>Moversly (Relo App)</t>
  </si>
  <si>
    <t>www.moversly.com</t>
  </si>
  <si>
    <t>Internatoinal, RMC</t>
  </si>
  <si>
    <t>SaaS platform for international relocations including surveys, CRM, quote management, and tracking.</t>
  </si>
  <si>
    <t>- LEAD MGMT *Y*: Consumer-facing mobile app platform that delivers leads to moving companies (customers input move details).
- SURVEYING *Y*: Customers enter inventory and service needs through the app, simplifying the survey process for movers.
- QUOTING *Y*: Provides consumers with multiple quotes for door-to-door international moves.
- JOB BOOKING *Y*: Allows users to select and book a mover through the app; initiates the move order with the chosen mover.
- MOVE MGMT *N*: 
- DISPATCH *N*: 
- SHIPMENTS *Y*: International door-to-door shipments: handles connecting customer needs with global movers, then those movers handle shipment execution.
- CREW APP *N*: 
- STORAGE *N*: 
- QUALITY *Y*: App collects customer feedback and ratings of movers, ensuring quality oversight via reviews.
- AR *Y*: App processes payment to the mover (integrated secure payment) once service is agreed.
- AP *N*: 
- ACCOUNTING *N*: 
- HR *N*: 
- INSTALL *Native App*: Mobile app (with supporting web platform) for end-users; movers interface via a web dashboard.
- LANGUAGE:English  - 
- NOTES: Consumers planning international moves; moving companies use it as a lead source for global relocations.</t>
  </si>
  <si>
    <t>CRM, Quoting</t>
  </si>
  <si>
    <t>Vonigo</t>
  </si>
  <si>
    <t>https://www.vonigo.com</t>
  </si>
  <si>
    <t>Cloud-based platform for service businesses including scheduling, dispatch, invoicing, and payments.</t>
  </si>
  <si>
    <t>- LEAD MGMT *Y*: Built-in CRM module to manage leads, customer info and follow-ups
- SURVEYING *N*: 
- QUOTING *Y*: Supports on-site estimating with an “Estimating” module for accurate quotes
- JOB BOOKING *Y*: Online booking for moves (customers can schedule jobs via web)
- MOVE MGMT *Y*: Work order management to coordinate each move from booking through completion
- DISPATCH *Y*: Scheduling and dispatch dashboard with route optimization &amp; GPS for crews
- SHIPMENTS *N*: 
- CREW APP *Y*: Mobile access for crew/drivers – view schedules, navigation and job details on phone/tablet
- STORAGE *N*: 
- QUALITY *N*: 
- AR *Y*: Integrated invoicing and payment processing built in
- AP *N*: 
- ACCOUNTING *Y*: Reporting dashboards for sales and operations performance
- HR *N*: 
- INSTALL *Cloud*: Cloud (SaaS) – access via any browser/device
- LANGUAGE:English  - 
- NOTES: Local and franchise moving/service companies seeking an all-in-one platform for CRM, online booking, dispatch, invoicing, etc. Pricing plans are tiered: Starter at $98/user/month, Professional at $119/user/month, and Premium at $139/user/month.</t>
  </si>
  <si>
    <t>Dispatch, Invoicing, Online Booking, Payments, Scheduling</t>
  </si>
  <si>
    <t>CompuSight (MoveDesk)</t>
  </si>
  <si>
    <t>www.movedesk.com</t>
  </si>
  <si>
    <t>Cloud-based moving and storage management system covering CRM, quoting, dispatch, warehouse management, and reporting.</t>
  </si>
  <si>
    <t>- LEAD MGMT *Y*: Cloud solution capturing leads and managing customers
- SURVEYING *N*: 
- QUOTING *Y*: Generates on-site estimates and moving proposals for customers.
- JOB BOOKING *Y*: Turns accepted quotes into scheduled jobs; everything is managed through one interface.
- MOVE MGMT *Y*: Moving &amp; storage management covering operations from scheduling to billing in one system.
- DISPATCH *Y*: Scheduling/dispatch tools to assign crews and trucks
- SHIPMENTS *N*: 
- CREW APP *Y*: Supports real-time mover tracking and updates, enabling crews to access info via mobile and office to see field status.
- STORAGE *Y*: Includes storage management for warehouses, inventory tracking of stored goods.
- QUALITY *N*: 
- AR *Y*: Automates billing and invoices; offers billing automation and online payment capabilities (shortening the billing cycle).
- AP *N*: 
- ACCOUNTING *Y*: Provides reports on jobs, finances, etc., and can integrate with accounting systems for full financial management.
- HR *N*: 
- INSTALL *Cloud*: Cloud-based (MoveDesk is web-accessible) so data is available in real time from anywhere.
- LANGUAGE:English  - 
- NOTES: Moving and storage companies that want an all-in-one cloud system for operations and customer management. The software is Windows-based, offers a free trial, and focuses on ease of use with video resources available on their website.</t>
  </si>
  <si>
    <t>Analytics, CRM, Dispatch, Online Booking, Payments, Scheduling, Storage</t>
  </si>
  <si>
    <t>Mover Mate</t>
  </si>
  <si>
    <t>https://movermate.com.au/</t>
  </si>
  <si>
    <t>Helps moving businesses run their entire workflow in one platform, from capturing leads and generating quotes to scheduling jobs, dispatching crews, managing finances, and tracking performance with real-time visibility.</t>
  </si>
  <si>
    <t>Chariot Move</t>
  </si>
  <si>
    <t>https://www.chariotmove.com/</t>
  </si>
  <si>
    <t>CRM and operations platform for moving companies including leads, inventory, estimates, scheduling, dispatch, and payments.</t>
  </si>
  <si>
    <t>- LEAD MGMT *Y*: Automates office tasks.
- SURVEYING *Y*: Includes tools for inventory and estimate generation (streamlined for quick input rather than extensive surveys).
- QUOTING *Y*: Quoting engine; calculates time, mileage, etc.,
- JOB BOOKING *Y*: Simplifies job booking and move-day scheduling with minimal manual effort (jobs flow into the dispatch calendar automatically).
- MOVE MGMT *Y*: from first contact to final invoice, reducing manual admin
- DISPATCH *Y*: Scheduling for crews and jobs
- SHIPMENTS *N*: 
- CREW APP *N*: 
- STORAGE *N*: 
- QUALITY *N*: 
- AR *Y*: Automates invoicing and streamlines getting paid; the system helps ensure nothing falls through cracks post-move.
- AP *N*: 
- ACCOUNTING *Y*: Provides dashboards and analytics to help moving companies identify performance and opportunities at a glance.
- HR *N*: 
- INSTALL *Cloud*: Cloud-based with modern interface (demo available online); regularly updated SaaS.
- LANGUAGE:English  - 
- NOTES: Growing moving companies wanting to leverage automation to scale – improving sales and operations efficiency.</t>
  </si>
  <si>
    <t>Accounting, CRM, Dispatch, Inventory, Payments, Scheduling</t>
  </si>
  <si>
    <t>Elromco (MoveBoard 2.0)</t>
  </si>
  <si>
    <t>www.elromco.com</t>
  </si>
  <si>
    <t>Cloud-based moving software and CRM including quoting, booking, dispatch, digital documents, and payments.</t>
  </si>
  <si>
    <t>- LEAD MGMT *Y*: Provides CRM/lead capture via web integration.
- SURVEYING *Y*: Via MoveBoard: supports online inventory input and scheduling of surveys.
- QUOTING *Y*: Via MoveBoard: online move calculators and automatic quote generation for customers.
- JOB BOOKING *Y*: Via MoveBoard: real-time customer self-booking and job creation.
- MOVE MGMT *Y*: Elromco’s MoveBoard platform manages moves from start to finish in one cloud system.
- DISPATCH *Y*: Via MoveBoard: includes dispatch board for crew/truck assignments.
- SHIPMENTS *N*: 
- CREW APP *Y*: MoveBoard is mobile-friendly, so crews and customers can interact via smartphones (no separate Elromco app).
- STORAGE *N*: 
- QUALITY *N*: 
- AR *Y*: Via MoveBoard: supports taking payments online and generating invoices.
- AP *N*: 
- ACCOUNTING *Y*: Via MoveBoard: basic financial reporting; often integrates with QuickBooks for full accounting.
- HR *N*: 
- INSTALL *Web Based*: Web-based (MoveBoard SaaS).
- LANGUAGE:English  - 
- NOTES: Small and medium movers leveraging MoveBoard for a fully web-based management (Elromco is the provider).</t>
  </si>
  <si>
    <t>AI, CRM, Dispatch, Mobile App, Online Booking | AI Dispatch/Optimization</t>
  </si>
  <si>
    <t>Shipeezi</t>
  </si>
  <si>
    <t>https://shipeezi.com/</t>
  </si>
  <si>
    <t>Platform for booking and managing shipments for moving companies.</t>
  </si>
  <si>
    <t>- LEAD MGMT *N*: 
- SURVEYING *N*: 
- QUOTING *N*: 
- JOB BOOKING *N*: 
- MOVE MGMT *Y*: Digital move platform – centralizes all move-related communications and tasks, improving coordination among clients, crews, agents.
- DISPATCH *N*: 
- SHIPMENTS *Y*: Real-time shipment visibility – provides end-to-end tracking of shipments (containers, trucks) with GPS updates and status alerts.
- CREW APP *Y*: Mobile Operations app – crews use it for digital inventories (no paper), updates, e-signatures.
- STORAGE *N*: 
- QUALITY *N*: 
- AR *N*: 
- AP *N*: 
- ACCOUNTING *Y*: Offers customizable reports and dashboards on shipments and operational efficiency.
- HR *N*: 
- INSTALL *Cloud*: Cloud SaaS – integrates with existing systems, accessible anywhere.
- LANGUAGE:English  - 
- NOTES: Moving &amp; relocation companies (global) – Shipeezi is a visibility and operations ecosystem for moves, helping streamline international move logistics, partner coordination, and customer updates.</t>
  </si>
  <si>
    <t>Online Booking, Manage shipments</t>
  </si>
  <si>
    <t>Voxme Software Inc</t>
  </si>
  <si>
    <t>www.voxme.com</t>
  </si>
  <si>
    <t>Move and fine art management software including surveys, inventories, damage tracking, and payments.</t>
  </si>
  <si>
    <t>- LEAD MGMT *N*: 
- SURVEYING *Y*: Offers Voxme Estimator &amp; Virtual Survey apps for detailed pre-move surveys (video or in-person) on mobile devices.
- QUOTING *Y*: Integrates survey results into move management systems for quotes
- JOB BOOKING *N*: 
- MOVE MGMT *N*: 
- DISPATCH *N*: 
- SHIPMENTS *N*: 
- CREW APP *Y*: Provides packing inventory apps (Voxme Inventory) allowing crews to create digital inventories, label items with barcodes, and capture digital signatures on-site.
- STORAGE *Y*: Offers digital warehouse inventory management (barcode-based) to track items in vaults and warehouses.
- QUALITY *N*: 
- AR *N*: 
- AP *N*: 
- ACCOUNTING *N*: 
- HR *N*: 
- INSTALL *Native App*: Mobile apps (Android/iOS) with cloud data exchange; designed to integrate with existing move management software via XML.
- LANGUAGE:English - 
- NOTES: Moving companies needing mobile solutions for surveys, packing lists, and warehouse inventory that integrate with their core systems (also fine arts shippers for detailed inventories). Integrates with Moveassist, Moveman, AGP, Saga Safari, Allium, RedSky, Moveware, and Canadian Customs (CAED). Also offers barcode labeling. Gosselin Mobility and Pasha Group are clients. Available for MAC.</t>
  </si>
  <si>
    <t>Inventory, Moving, Art, Survey, Virtual Survey, Inventory,</t>
  </si>
  <si>
    <t>Masi Leap</t>
  </si>
  <si>
    <t>https://masi-leap.com/</t>
  </si>
  <si>
    <t>Move management system for international moving companies covering lead capture, tracking, dispatch, and invoicing.</t>
  </si>
  <si>
    <t>- LEAD MGMT *Y*: Integrated with Lead providers
- SURVEYING *Y*: Virtual only?
- QUOTING *Y*: 
- JOB BOOKING *Y*: 
- MOVE MGMT *Y*: 
- DISPATCH *Y*: 
- SHIPMENTS *Y*: 
- CREW APP *Y*: 
- STORAGE *Y*: 
- QUALITY *N*: 
- AR *Y*: Quickbooks Intergration
- AP *N*: 
- ACCOUNTING *N*: 
- HR *N*: 
- INSTALL *Web Based*: 
- LANGUAGE:English - 
- NOTES: Movers - International</t>
  </si>
  <si>
    <t>Analytics, Dispatch, Invoicing, Quoting, Storage</t>
  </si>
  <si>
    <t>Moverbase</t>
  </si>
  <si>
    <t>www.moverbase.com</t>
  </si>
  <si>
    <t>Cloud-based moving software covering scheduling, lead management, quoting, and dispatch.</t>
  </si>
  <si>
    <t>- LEAD MGMT *Y*: Online lead import, contact management, and lead provider integrations
- SURVEYING *Y*: Inventory-based estimating forms (no video survey, but clients/movers can input item lists).
- QUOTING *Y*: Fast estimate builder (hourly or inventory) that can send quotes electronically for e-signature.
- JOB BOOKING *Y*: One-click conversion of quotes to jobs; scheduled on a central calendar.
- MOVE MGMT *Y*: Robust moving company management in the cloud – from scheduling to customer communication to storage tracking.
- DISPATCH *Y*: Central calendar view for jobs, mover availability, truck assignments, and events.
- SHIPMENTS *N*: 
- CREW APP *Y*: Offers a mobile app (Android/iOS) for crews to see job details, update status, and capture signatures/pictures.
- STORAGE *Y*: Can handle storage jobs and vault inventories; notes stored items and automates recurring storage billing.
- QUALITY *N*: 
- AR *Y*: Integrates with apps to automate invoicing and payments.
- AP *N*: 
- ACCOUNTING *Y*: Data analytics and reporting built-in; can integrate with accounting software for full financials.
- HR *N*: 
- INSTALL *Cloud*: 100% cloud-based and device-agnostic (works on any computer, tablet, mobile via browser).
- LANGUAGE:English  - 
- NOTES: Small and medium movers seeking an affordable, easy-to-use cloud system (month-to-month SaaS). Offers plans starting at a basic fee, with other pricing options at $19, $99, or $299/month. Integrates with PayPal, QuickBooks, Stripe, and Google via Zapier. No customization options. Implementations are free.</t>
  </si>
  <si>
    <t>AI, Dispatch, Logistics, Mobile App, Quoting, Sales, Scheduling | AI Pricing/Quoting, AI Sales Automation, AI Dispatch/Optimization</t>
  </si>
  <si>
    <t>MoverworX CRM Software</t>
  </si>
  <si>
    <t>https://moverworx.net/</t>
  </si>
  <si>
    <t>Web-based CRM for movers with QuickBooks integration.</t>
  </si>
  <si>
    <t>- LEAD MGMT *Y*: Fully-integrated lead management, sales, and marketing modules for tracking and converting leads.
- SURVEYING *Y*: Supports digital inventory item lists for estimates (manual input rather than video survey).
- QUOTING *Y*: Automated quote calculations with tariff management for long-distance pricing.
- JOB BOOKING *Y*: Manages booked moves and scheduling of jobs on a central calendar.
- MOVE MGMT *Y*: Complete end-to-end move management system covering the entire operation from initial inquiry to move completion.
- DISPATCH *Y*: Dynamic truck and crew scheduling system to optimize assignments.
- SHIPMENTS *Y*: Handles interstate and intrastate moves with tariff-based planning and tracking.
- CREW APP *N*: 
- STORAGE *Y*: Includes inventory management and can track stored items, enhancing storage operations.
- QUALITY *N*: 
- AR *Y*: Generates invoices and payment schedules; can integrate with accounting systems for receivables.
- AP *N*: 
- ACCOUNTING *Y*: Provides analytical reports and integrates with QuickBooks for full accounting needs.
- HR *N*: 
- INSTALL *Web Based*: Web-based (cloud) solution accessible via internet browser.
- LANGUAGE:English  - 
- NOTES: Domestic moving companies (local &amp; long-distance) needing a comprehensive CRM and operations platform. Installation is typically remote, though advertised locally via CD. Modules sold separately, limited support included (6 months), additional fees afterward. Customers report issues with module integration and complexity of the mobile app, which requires internet access. Website outdated; latest update from 2014.</t>
  </si>
  <si>
    <t>AI, CRM | AI Sales Automation</t>
  </si>
  <si>
    <t>The Moving Manager (MovingPro)</t>
  </si>
  <si>
    <t>www.themovingmanager.com</t>
  </si>
  <si>
    <t>Cloud-based moving software for small and mid-sized movers.</t>
  </si>
  <si>
    <t>ON PREMISE/HOSTED</t>
  </si>
  <si>
    <t>- LEAD MGMT *Y*: Lead management module to handle new inquiries and prospects (part of all-in-one system).
- SURVEYING *Y*: Supports recording a household goods inventory during in-home surveys (manual input).
- QUOTING *Y*: Built-in quoting tool to produce estimates from inventory and services.
- JOB BOOKING *Y*: Confirmed estimates convert into booked jobs in the system.
- MOVE MGMT *Y*: Provides an all-in-one move management interface – data flows between modules for planning and resource allocation.
- DISPATCH *Y*: Dispatch/trip planning features for long-distance moves
- SHIPMENTS *Y*: Handles long-distance move logistics (trip planner manages linehaul trips, third-party services, SIT).
- CREW APP *N*: 
- STORAGE *N*: 
- QUALITY *Y*: May include basic storage/SIT management (per MovingPro features).
- AR *N*: 
- AP *Y*: Integrates job orders with billing (invoice generation, payment tracking).
- ACCOUNTING *N*: 
- HR *Y*: Generates reports on moves, revenues, and resource use; likely QuickBooks integration for accounting.
- INSTALL *ON PREMISE/HOSTED*: On-premise or hosted (older system; likely Windows application).
- LANGUAGE:English - 
- NOTES: Primarily suited for local and long-distance movers and is not available outside the USA. Website is unavailable.Still active?</t>
  </si>
  <si>
    <t>Move management USA</t>
  </si>
  <si>
    <t>AGP Business Software (Kerridge CS)</t>
  </si>
  <si>
    <t>www.agp.nl https://www.kerridgecs.nl/</t>
  </si>
  <si>
    <t>ERP software for logistics and transportation with modules for transport management across multiple sectors.</t>
  </si>
  <si>
    <t>- LEAD MGMT *Y*: Offers CRM and sales modules as part of an integrated ERP for moving/logistics.
- SURVEYING *Y*: Supports inventory and survey data entry (often customized for each client’s needs).
- QUOTING *Y*: Provides quoting tools for transport and moving services (including multi-modal freight rates).
- JOB BOOKING *Y*: Manages job orders and bookings within a unified logistics platform.
- MOVE MGMT *Y*: ERP system covers end-to-end process (from initial order through execution) across logistics sectors.
- DISPATCH *Y*: Includes scheduling and resource planning modules for trucks and crews.
- SHIPMENTS *Y*: Freight management – handles sea/air/road freight scheduling and tracking for moves.
- CREW APP *N*: 
- STORAGE *Y*: Warehouse management features for storage, applicable to moving warehouse operations.
- QUALITY *N*: 
- AR *Y*: Integrated billing within the ERP; can handle complex pricing and invoicing scenarios.
- AP *Y*: Includes purchasing modules (from Kerridge’s ERP framework) for handling payables to vendors/agents.
- ACCOUNTING *Y*: Fully integrated accounting/reporting (leveraging Kerridge ERP capabilities).
- HR *N*: 
- INSTALL *ON PREMISE/HOSTED*: On-premise or private cloud (as part of Kerridge Commercial Systems' offerings).
- LANGUAGE:Multilingual - Dutch, English (primarily used in Benelux).
- NOTES: Used by Gosselin Group. The website does not specifically detail transport-focused solutions. Large moving/logistics firms in Europe requiring an ERP that combines moving &amp; freight operations.</t>
  </si>
  <si>
    <t>ERP, Logistics, Transportation</t>
  </si>
  <si>
    <t>Direct Systems Inc</t>
  </si>
  <si>
    <t>www.directsystems.com</t>
  </si>
  <si>
    <t>Desktop-based moving and storage management software including accounting, dispatch, warehouse management, and van line connectivity.</t>
  </si>
  <si>
    <t>- LEAD MGMT *Y*: Includes a customer management module for leads and orders.
- SURVEYING *Y*: Allows entering survey inventories (noted for integrating data from estimators).
- QUOTING *Y*: Fully handles tariff rating and special pricing; generates accurate estimates for local &amp; long-distance moves.
- JOB BOOKING *Y*: Manages move orders from booking through completion in one system.
- MOVE MGMT *Y*: Complete move &amp; storage management software used by hundreds of moving companies.
- DISPATCH *Y*: Calendars for crew/truck scheduling, plus support for multi-branch dispatch.
- SHIPMENTS *Y*: Van line statement reconciliation and interline haul management built in (for agent network operations).
- CREW APP *N*: 
- STORAGE *Y*: Storage management module (handles storage billing, vault tracking).
- QUALITY *N*: 
- AR *Y*: Accounting package including commissions, complex billing, and van line financial reconciliation.
- AP *Y*: Handles payroll and contractor payments; can manage driver commissions and special pay schemes.
- ACCOUNTING *Y*: Includes full financials and reporting; can output to general ledgers and offers extensive management reports.
- HR *N*: 
- INSTALL *ON PREMISE*: On-premise (since 1979) but now offers web-enabled access; known for stability in enterprise use.
- LANGUAGE:English  - 
- NOTES: Established moving &amp; storage companies (including van line agents) needing comprehensive operations and accounting in one system. Serves approximately 700 companies including AMJ, Campbells, Premiere, and Stevens.</t>
  </si>
  <si>
    <t>Accounting, CRM, Dispatch, Invoicing, Logistics, Mobile App, Sales, Storage</t>
  </si>
  <si>
    <t>Dr Mover Inc.</t>
  </si>
  <si>
    <t>www.drmover.com</t>
  </si>
  <si>
    <t>Operational moving software covering CRM, dispatch, fleet tracking, storage, claims, and accounting integrations.</t>
  </si>
  <si>
    <t>- LEAD MGMT *Y*: Manages leads and customer contacts in a centralized database (including marketing funnel tracking).
- SURVEYING *Y*: Offers an Android on-site estimator app for in-home surveys and inventory listing.
- QUOTING *Y*: Uses built-in tariff management tools to auto-calculate move costs (weight/distance, packing, extras).
- JOB BOOKING *Y*: Converts estimates to booked jobs; supports digital contracts and moving tariff compliance.
- MOVE MGMT *Y*: Provides a desktop dashboard for coordinating moves and monitoring progress in real time.
- DISPATCH *Y*: Interactive calendars (Forecast and Desktop views) for scheduling crews, trucks, and start times.
- SHIPMENTS *Y*: Handles interstate move details (tariff rules for long-distance) and can manage schedules for multi-day trips.
- CREW APP *Y*: Crew can use mobile tools for inventory and on-site paperwork (digital Bills of Lading, signatures) to close out jobs.
- STORAGE *Y*: Includes a storage module to manage storage jobs, billing cycles, and unit inventories (with pro-rated billing).
- QUALITY *N*: 
- AR *Y*: Integrated invoicing and payment processing (including credit card integration) to streamline billing.
- AP *N*: 
- ACCOUNTING *Y*: Customizable reports on operations and finances; exports data to QuickBooks or other accounting software.
- HR *N*: 
- INSTALL *Cloud*: Desktop application (Windows) with cloud database options; mobile estimator app for Android devices.
- LANGUAGE:English  - 
- NOTES: Small-to-mid size moving companies (local &amp; long-distance) seeking an affordable all-in-one solution with mobile estimating. Moving management software provider established in 2002, serving the US market. Includes modules like MoveSurvey and MoveCrew. Website contains detailed product information but appears outd</t>
  </si>
  <si>
    <t>AI, Accounting, CRM, Dispatch, Fleet, Sales, Storage | AI Sales Automation, AI Dispatch/Optimization</t>
  </si>
  <si>
    <t>Emover Software</t>
  </si>
  <si>
    <t>www.emover-software.com</t>
  </si>
  <si>
    <t>Cloud-based modular moving management software covering CRM, estimating, dispatch, payroll, storage, and reporting.</t>
  </si>
  <si>
    <t>- LEAD MGMT *Y*: Cloud-based CRM to record leads, customer info, and follow-ups.
- SURVEYING *Y*: Allows attaching photos of inventory items to surveys for more accurate estimates.
- QUOTING *Y*: Supports quick estimates and email quotes to clients via an online interface.
- JOB BOOKING *Y*: Jobs can be booked and scheduled through a central job calendar.
- MOVE MGMT *Y*: All-in-one online system for managing moving jobs from initial inquiry through billing.
- DISPATCH *Y*: Job calendar for scheduling crews and trucks; real-time updates accessible from anywhere.
- SHIPMENTS *Y*: Real-time shipment tracking for customers and staff to monitor move status.
- CREW APP *Y*: Mobile-friendly platform (accessible on tablets/phones) so crews can update job status and details on-site.
- STORAGE *Y*: Powerful storage module to manage storage customers, units, and recurring billing.
- QUALITY *N*: 
- AR *Y*: Integrated billing with online payment processing (credit card charging within the system).
- AP *N*: 
- ACCOUNTING *Y*: Reporting tools and ability to export financial data; cloud data accessible for analysis.
- HR *N*: 
- INSTALL *Cloud*: 100% cloud-based (SaaS) – requires only a web browser and internet connection.
- LANGUAGE:English  - 
- NOTES: Moving and storage companies of various sizes that want a fully online management solution. Free online demo available. Simple interface with basic customization options. Limited daytime support (8-5 EST). Offers modular pricing starting at $224/month.</t>
  </si>
  <si>
    <t>Accounting, CRM, Dispatch, Mobile App, Scheduling, Storage</t>
  </si>
  <si>
    <t>MoveRight (Karve It)</t>
  </si>
  <si>
    <t>https://about.moveright.app/</t>
  </si>
  <si>
    <t>Cloud-based CRM and operations platform for local movers including quoting, dispatch, invoicing, and accounting integration.</t>
  </si>
  <si>
    <t>- LEAD MGMT *Y*: Track leads, automate follow-ups, and conversions.
- SURVEYING *Y*: Offers integrated video survey option (via Yembo) and on-site inventory tools
- QUOTING *Y*: Streamlined quoting, supports distance/volume and custom pricing rules.
- JOB BOOKING *Y*: Easily converts estimates to booked jobs; pipeline designed to keep jobs moving with minimal clicks.
- MOVE MGMT *Y*: Workflow automation ensures tasks (like follow-ups, scheduling) progress without manual effort; all team members see updates in real time.
- DISPATCH *Y*: Drag-and-drop dispatch board for assigning trucks and crews, optimizing utilization (with alerts for scheduling conflicts).
- SHIPMENTS *Y*: Focuses on local moves; can manage interstate logistics but primarily designed for shorter moves (integrates with mapping for routing).
- CREW APP *Y*: Crew app gives field teams all move details (inventory, documents, client info) and allows instant updates and digital paperwork.
- STORAGE *N*: 
- QUALITY *Y*: Encourages capturing customer reviews post-move through automated follow-ups.
- AR *Y*: Integrates with QuickBooks for invoicing; processes payments and tracks balances within the CRM.
- AP *N*: 
- ACCOUNTING *Y*: Provides high-quality reports and analytics for all data (bookings, revenues, ad spend ROI, etc.).
- HR *N*: 
- INSTALL *Cloud*: Cloud-based platform (accessible on any device) with modern UX; multi-tenant SaaS.
- LANGUAGE:English  - 
- NOTES: Local and regional moving companies looking for a next-gen, user-friendly CRM/operations solution with strong automation. Main product Move Right</t>
  </si>
  <si>
    <t>AI, CRM, Dispatch, Invoicing, Mobile App, Sales | AI Sales Automation, AI Dispatch/Optimization</t>
  </si>
  <si>
    <t>Magaya</t>
  </si>
  <si>
    <t>www.magaya.com</t>
  </si>
  <si>
    <t>Logistics software platform with CRM and commerce modules for freight and moving companies.</t>
  </si>
  <si>
    <t>BOTH</t>
  </si>
  <si>
    <t xml:space="preserve">Multilingual </t>
  </si>
  <si>
    <t>- LEAD MGMT *Y*: Basic customer and quote management (focused on shippers rather than detailed moving CRM).
- SURVEYING *N*: 
- QUOTING *Y*: Freight quotes and tariffs (for international shipments, including volumetric calculations).
- JOB BOOKING *Y*: Creates shipment bookings (pickup orders, international freight bookings).
- MOVE MGMT *Y*: Logistics-focused coordination, manages multi-step shipping processes.
- DISPATCH *Y*: Manages pickup and delivery orders; integrates with trucking modules to dispatch local legs.
- SHIPMENTS *Y*: Freight forwarding system for ocean/air/land, including customs compliance and documentation.
- CREW APP *Y*: Offers mobile apps for warehouse operations and cargo tracking (e.g., scanning, inventory).
- STORAGE *Y*: Warehouse management system for inventory control and storage of shipments.
- QUALITY *Y*: Compliance and tracking features (e.g., ensures proper documentation); no dedicated claims module.
- AR *Y*: Built-in billing, invoicing, and multi-currency accounting for shipments.
- AP *Y*: Can record payable expenses (duties, carrier costs) and manage them in the system.
- ACCOUNTING *Y*: Full accounting module and financial reports included in platform.
- HR *N*: 
- INSTALL *BOTH*: Both (Windows-based client with cloud server or on-prem server; web portals for tracking).
- LANGUAGE:Multilingual  - English, Spanish, etc.).
- NOTES: Freight-forwarders and international moving companies requiring extensive logistics, warehousing, and customs functionality. Offers limited support during EST business hours. Website lists multiple products (over 20), which may complicate product selection.</t>
  </si>
  <si>
    <t>CRM, Logistics</t>
  </si>
  <si>
    <t>Moveware Systems</t>
  </si>
  <si>
    <t>www.movewaresystems.com</t>
  </si>
  <si>
    <t>Operational software for moving companies covering quoting, estimating, scheduling, and invoicing.</t>
  </si>
  <si>
    <t>- LEAD MGMT *Y*: 
- SURVEYING *N*: Supports pre-move surveys and inventory assessments as part of the sales process (integrates with digital survey tools).
- QUOTING *Y*: Provides detailed quoting and estimating modules for moves.
- JOB BOOKING *Y*: Covers job booking and initiates move files once a quote is accepted.
- MOVE MGMT *Y*: Comprehensive move management ERP that guides staff through the entire moving process (sales, planning, execution, post-move).
- DISPATCH *Y*: Includes scheduling and dispatch management to allocate crews, vehicles, and resources to jobs.
- SHIPMENTS *Y*: Handles international shipment manifesting and allows electronic information sharing with agents worldwide.
- CREW APP *Y*: Offers mobile integration (e.g., Moveware apps or third-party integration) for crew to access inventories and update job status on-site.
- STORAGE *Y*: Inventory and warehouse management are integrated, supporting storage and vault tracking.
- QUALITY *Y*: Includes post-move review tools and claims management to monitor service quality.
- AR *Y*: Full billing and invoicing functionality tied into moves, with financial ledgers for receivables.
- AP *Y*: Tracks payable expenses (e.g., subcontractors, international agents) and can integrate with financial systems for AP.
- ACCOUNTING *Y*: Provides management statistics and can interface with accounting; designed with industry standards (BAR) for compliance.
- HR *N*: 
- INSTALL *ON PREMISE*: Typically on-premise or private cloud (client-server application); accessible globally via MoveCloud/MoveConnect portal.
- LANGUAGE:Multilingual - used worldwide, e.g., English, French, etc.).
- NOTES: Medium to large moving and relocation companies (domestic &amp; international) needing an enterprise-level solution. US-focused operational software for moving companies. Website appears outdated and basic.</t>
  </si>
  <si>
    <t>AI, Sales, Scheduling | AI Sales Automation</t>
  </si>
  <si>
    <t>Move It Pro</t>
  </si>
  <si>
    <t>https://www.moveitpro.com/</t>
  </si>
  <si>
    <t>Cloud-based CRM and ERP software for moving companies covering sales, scheduling, dispatch, invoicing, and storage.</t>
  </si>
  <si>
    <t>- LEAD MGMT *Y*: Comprehensive CRM to capture leads, automate follow-ups, and provide a customer portal for estimates.
- SURVEYING *Y*: Supports digital inventories and integrated forms for estimating (visual estimator tool).
- QUOTING *Y*: Robust estimator factoring time, distance, volume, etc., producing quotes that can be sent electronically.
- JOB BOOKING *Y*: Online booking capability (customers can accept quotes via portal); scheduled jobs appear on the system calendar.
- MOVE MGMT *Y*: All-in-one web platform handling operations of a moving and/or storage company
- DISPATCH *Y*: Intuitive drag-and-drop dispatch board for crews/trucks, with day capacity and resource allocation tracking.
- SHIPMENTS *Y*: Provides live GPS tracking of moving trucks and crews via the mobile app, so office and clients get real-time updates.
- CREW APP *Y*: Mobile app for crews to handle dispatch tasks, collect payments, update move status, and GPS navigate
- STORAGE *Y*: Manages storage customers and units, including recurring billing and inventory of stored items (suitable for storage facilities).
- QUALITY *Y*: Customer portal and interactive communications help address issues ; system logs any damage notes or claims
- AR *Y*: Integrated invoicing, payment processing, and financial tracking to minimize manual billing work.
- AP *N*: 
- ACCOUNTING *Y*: Data analytics and reporting built-in; can integrate with QuickBooks for accounting.
- HR *N*: 
- INSTALL *Web Based*: Fully web-based and online; also offers a native mobile app for field and an office interface in the browser.
- LANGUAGE:English  - 
- NOTES: Moving and storage companies of all sizes wanting a user-friendly, cloud-based system with strong operational and CRM features. Lacks a dedicated crew tool. Florida-based / built by former movers. Integrations with Google Maps, Calendar, Zillow. Call center booking services</t>
  </si>
  <si>
    <t>AI, CRM, Dispatch, Fleet, GPS, Inventory, Invoicing, Mobile App, Sales, Scheduling, Storage | AI Inventory, AI Sales Automation, AI Dispatch/Optimization</t>
  </si>
  <si>
    <t>Move4U</t>
  </si>
  <si>
    <t>https://move4u.com/</t>
  </si>
  <si>
    <t>Photo and video surveys, digital inventories, packing lists, and e-signatures. Integrated with Yembo</t>
  </si>
  <si>
    <t>- LEAD MGMT *Y*: Offers lead capture and customer info via MoveDashboard, giving movers a central place to manage incoming moves.
- SURVEYING *Y*: SurveyPro app for digital pre-move surveys (including video survey) to gather inventory electronically.
- QUOTING *Y*: Produces quick, accurate quotes and moving plans based on survey data; customers can receive quotes digitally.
- JOB BOOKING *Y*: Leads convert to booked moves in the system, triggering automated tasks and customer portal updates.
- MOVE MGMT *Y*: A suite of moving apps that together manage the entire process from initial inquiry to claim settlement.
- DISPATCH *Y*: Automated job scheduling and route optimization tools
- SHIPMENTS *Y*: Real-time shipment tracking for international moves, integration with partner agents (Move4U shares data digitally).
- CREW APP *Y*: CrewPro mobile app for crews: digital inventory lists, electronic signing of documents, and GPS tracking during move day.
- STORAGE *Y*: Inventory and storage management integrated (for SIT or long-term storage) via Move4U's warehouse app.
- QUALITY *Y*: Includes claims module and quality surveys, enabling the entire claims process to be handled digitally (with customer portal for submissions).
- AR *Y*: Integrates with invoicing systems; can automate billing events (e.g., after delivery or storage periodic billing).
- AP *N*: 
- ACCOUNTING *Y*: Reporting in MoveDashboard provides data insights and KPIs; financial info can export to accounting.
- HR *N*: 
- INSTALL *Cloud*: Cloud-based (MoveDashboard syncs data across all apps, 24/7 availability of info).
- LANGUAGE:English  - 
- NOTES: Moving companies worldwide seeking modular digital solutions (surveys, inventory, crew, claims) that integrate via a central dashboard. The Pro version offers the full package. Partners with Yembo for the crew module. All features are customizable and support multiple languages. Limited client base.</t>
  </si>
  <si>
    <t>AI | AI Inventory, AI Assistant</t>
  </si>
  <si>
    <t>MoversTech (MoversTech CRM)</t>
  </si>
  <si>
    <t>https://www.moverstech.com/</t>
  </si>
  <si>
    <t>CRM software for moving companies.</t>
  </si>
  <si>
    <t>- LEAD MGMT *Y*: Captures and organizes leads, with marketing funnel and automated follow-ups
- SURVEYING *Y*: Supports on-site estimates and inventory via mobile-friendly tools (allowing visual surveys and item lists).
- QUOTING *Y*: Generates quotes (local or long-distance) and emails them to clients; handles weight, volume, and hourly estimates accurately.
- JOB BOOKING *Y*: Booked moves are scheduled in the system’s calendar, triggering dispatch and crew assignment tasks.
- MOVE MGMT *Y*: All-in-one platform to handle moves from lead generation through storage, with real-time updates for all phases.
- DISPATCH *Y*: Features a dispatch module for trucks and crews, including GPS tracking integration for real-time location of teams.
- SHIPMENTS *Y*: For both local and long-distance moves, all transit and storage details are managed in one place.
- CREW APP *Y*: “Crew Access” portal (mobile-friendly) for crews to receive jobs, capture signatures, and update move status on the go.
- STORAGE *Y*: Covers storage and transit inventory tracking as part of its end-to-end feature set.
- QUALITY *Y*: Includes a claim management tool to log and track any damage claims through resolution.
- AR *Y*: Built-in invoicing, payment processing, and financial reporting keep billing streamlined and transparent.
- AP *N*: 
- ACCOUNTING *Y*: Financial and operational reports; can integrate with QuickBooks for accounting sync.
- HR *N*: 
- INSTALL *Cloud*: Cloud-based (access via web browser); mobile responsive design for use in office or field.
- LANGUAGE:English  - 
- NOTES: Local and long-distance moving companies that want a comprehensive, modern CRM with dispatch and mobile capabilities.</t>
  </si>
  <si>
    <t>CRM Mobile, Dispatch</t>
  </si>
  <si>
    <t>Netensity - Movegistics</t>
  </si>
  <si>
    <t>https://movegistics.com/netensity - https://movegistics.com/mover-inventory/</t>
  </si>
  <si>
    <t>Cloud-based CRM and operations platform for moving companies.</t>
  </si>
  <si>
    <t>- LEAD MGMT *Y*: Moving CRM with lead capture, two-way texting, email marketing campaigns, and automated follow-ups
- SURVEYING *Y*: Supports digital in-home surveys via tablet (real-time inventory with photos/signatures) to generate accurate quotes
- QUOTING *Y*: Integrated estimating engine for local/interstate moves (calculates weight, volume, distance costs; supports tariffs)
- JOB BOOKING *Y*: Converts leads to booked jobs; drag-and-drop calendar to schedule moves and assign crews/trucks
- MOVE MGMT *Y*: One-stop operations management from initial inquiry to final delivery (sales, ops, storage all in one system)
- DISPATCH *Y*: Dispatch control center with daily job calendar for crews &amp; trucks, real-time GPS tracking and route optimization for drivers
- SHIPMENTS *Y*: Provides live shipment tracking for interstate moves; customer portal for tracking status of their move (via integrated GPS)
- CREW APP *Y*: Native mobile apps for crews (do surveys, update inventories, capture e-signatures and payments in the field)
- STORAGE *Y*: Storage module to manage warehouse inventory, storage contracts, and automatic storage billing
- QUALITY *Y*: Built-in claims module to document damages and track claims resolution; customer review tracking to ensure quality
- AR *Y*: QuickBooks Online integration for invoicing &amp; payments posting (no double entry)
- AP *N*: 
- ACCOUNTING *Y*: Reporting dashboards for sales, marketing, operations, and financials (KPIs like lead conversion, revenue, capacity utilization)
- HR *N*: 
- INSTALL *Cloud*: Cloud-based SaaS (browser and mobile access)
- LANGUAGE:English  - 
- NOTES: Moving &amp; storage companies. The system offers integrations (e.g., QuickBooks, Google Calendar), mobile apps, and digital forms like electronic BOLs. Implementation scope and support levels vary by pricing tier. Standard support is available during business hours, with 24/7 coverage for urgent issues. A 30-day free trial is available. Apparently not good for international.</t>
  </si>
  <si>
    <t>CRM, Dispatch, Inventory, Payments, Storage</t>
  </si>
  <si>
    <t>Reedge</t>
  </si>
  <si>
    <t>https://reedgeapp.com/</t>
  </si>
  <si>
    <t>Cloud-based system with sales tools, move management, scheduling, and invoicing.</t>
  </si>
  <si>
    <t>- LEAD MGMT *Y*: Moving CRM to track incoming leads and manage customer interactions in one place.
- SURVEYING *Y*: Integrated survey/estimation features (distance, volume, packing requirements) to build quotes in-platform.
- QUOTING *Y*: 
- JOB BOOKING *Y*: Converts leads to booked moves and kicks off workflows automatically (checklists, notifications, etc.).
- MOVE MGMT *Y*: All-in-one cloud system to manage every assignment
- DISPATCH *Y*: Drag-and-drop scheduling of moves, crew assignment tools with alerts
- SHIPMENTS *Y*: Handles sharing of shipment information in real-time; built for relocation companies to coordinate moves globally.
- CREW APP *Y*: Mobile-responsive design for crews and customers to interact (e.g., crews can update status or inventories via their devices).
- STORAGE *Y*: Includes modules to track storage shipments or temporary storage as part of a move (with inventory control).
- QUALITY *Y*: Has feedback loops and a basic claims logging feature to improve service.
- AR *Y*: Allows quick invoicing and payment tracking; may integrate to external accounting for financials.
- AP *N*: 
- ACCOUNTING *Y*: Strong analytics and reports thanks to the platform’s design for data-driven decisions.
- HR *N*: 
- INSTALL *Cloud*: Cloud-based (SaaS) with modern UI/UX, accessible anywhere via browser.
- LANGUAGE:English  - 
- NOTES: Moving companies and relocation providers seeking a modern, easy-to-use move management platform with an emphasis on user experience. Integrates with QuickBooks and Move4U (SurveyPro and Crew Pro apps). ISO 27001:2013 and 9001:2015 certified. Partners with Move4U and Redsky, and offers free implementation to FIDI agents.</t>
  </si>
  <si>
    <t>Quoting, Sales, Scheduling</t>
  </si>
  <si>
    <t>Supermove</t>
  </si>
  <si>
    <t>https://www.supermove.com/</t>
  </si>
  <si>
    <t>Software for moving companies covering CRM, dispatch, scheduling, accounting, and reporting.</t>
  </si>
  <si>
    <t>- LEAD MGMT *Y*: End-to-end CRM with sales automation – captures leads, automates follow-up emails/texts, and tracks conversions.
- SURVEYING *Y*: Onsite digital survey tool in the Crew App allows estimators to create inventory in real time, visible instantly to office staff.
- QUOTING *Y*: Highly configurable quoting (supports custom pricing, valuation coverage, etc.)
- JOB BOOKING *Y*: Once quote is accepted, jobs are created and workflows (tasks, reminders) auto-populate to kick off the move.
- MOVE MGMT *Y*: Manages everything from lead generation, scheduling, dispatch to field operations and analytics in one platform.
- DISPATCH *Y*: Drag-and-drop crew/truck assignments; real-time crew tracking
- SHIPMENTS *Y*: Supports local, interstate, and commercial moves; offers GPS tracking for shipments and integrates multiple move types on one calendar.
- CREW APP *Y*: Dedicated Crew App provides crews with job details, navigation, digital forms (BOL, inventories), and payment capture on-site.
- STORAGE *Y*: Can handle storage jobs and vault inventories; data is visible to customers via the customer portal if needed.
- QUALITY *Y*: Captures data needed for continuous improvement; provides reporting to identify issues
- AR *Y*: Billing systems (flat rate, hourly, weight-based) configurable per company needs; digital invoicing and online payment links included.
- AP *N*: 
- ACCOUNTING *Y*: Advanced reporting and analytics built-in, enabling data-driven decisions (many report templates available).
- HR *N*: 
- INSTALL *Cloud*: Cloud-based; accessible from any device. The team provides white-glove onboarding and ongoing support.
- LANGUAGE:English  - 
- NOTES: Moving companies of all sizes (local, interstate, commercial) wanting a highly configurable, modern solution with strong support and high user adoption.Primarily serves the USA market.</t>
  </si>
  <si>
    <t>Accounting, CRM, Dispatch, Quoting, Scheduling, Integrations</t>
  </si>
  <si>
    <t>The Moving Software</t>
  </si>
  <si>
    <t>https://themovingsoftware.com/</t>
  </si>
  <si>
    <t>Unified platform for managing sales, operations, scheduling, billing, and reporting for moving companies.</t>
  </si>
  <si>
    <t>- LEAD MGMT *Y*: Provides built-in dispatch center, CRM, and third-party management options. Strong lead management capabilities, explicitly including "Lead and Sales Management," "Leads Grabbing," and related tools like duplicate lead detection and lead count display
- SURVEYING *Y*: Custom inventory and packing lists enable detailed surveys.
- QUOTING *Y*: Automatic Quotes Calculator, Local/Long Distance Calculators, Multi Custom Tariff.
- JOB BOOKING *Y*: Lead and Sales Management, Leads Grabbing.
- MOVE MGMT *Y*: Combined Weekly Calendar, Multi Calendar Viewer, Dispatch Center. Automated follow-ups and bulk client emailing. Offers a combined weekly calendar for scheduling crews, trucks, and jobs. Allows automatic estimates and emails to multiple clients. Integrates SMS live updates, lead distribution, and backup systems for reliability.
- DISPATCH *Y*: Dispatch Center, Advance Third Party Management.
- SHIPMENTS *Y*: Distance Calculator, but no advanced tracking.
- CREW APP *N*: Not mentioned
- STORAGE *Y*: Storage features confirmed (from base package, retained). Inventory tracking, and packing materials management.
- QUALITY *Y*: Claims tracking
- AR *Y*: Credit Card Release. Supports storage and SIT (Storage in Transit) billing automation.
- AP *N*: No payables mentioned
- ACCOUNTING *Y*: Multiple Reports, Business Intelligence
- HR *Y*: Employee management, users tracking
- INSTALL *Web Based*: SaaS model with multi-users
- LANGUAGE:English - 
- NOTES: Small to mid-size moving companies</t>
  </si>
  <si>
    <t>Dispatch, Quoting, Sales, Scheduling, Storage</t>
  </si>
  <si>
    <t>Odoo (Open-source ERP)</t>
  </si>
  <si>
    <t>https://www.odoo.com/es_ES</t>
  </si>
  <si>
    <t>Open-source ERP software adaptable for moving companies.</t>
  </si>
  <si>
    <t>- LEAD MGMT *Y*: Track moving leads, opportunities, and customer communications.
- SURVEYING *N*: 
- QUOTING *Y*: Sales module lets you create estimates/quotations; can be customized for move-specific pricing logic.
- JOB BOOKING *Y*: Can use Project or Field Service modules to create a moving job once a quote is confirmed.
- MOVE MGMT *Y*: 
- DISPATCH *Y*: Fleet and Scheduling modules for assigning trucks and scheduling appointments
- SHIPMENTS *Y*: Inventory and Logistics modules handle shipments; can integrate with carriers for tracking if needed (not moving-specific out-of-box).
- CREW APP *Y*: Odoo has mobile apps and a Field Service app that can be tailored for crews to receive job orders, capture signatures, etc.
- STORAGE *Y*: Odoo’s Inventory and Warehouse modules allow tracking storage units, vaults, and generating storage billing easily.
- QUALITY *Y*: Claims can be tracked via the Helpdesk module.
- AR *Y*: Accounting app – can issue invoices for moves, track payments, and manage AR in the same system.
- AP *Y*: Includes vendor bills, purchase orders for any supplies or subcontractors (like temp storage or vehicle maintenance).
- ACCOUNTING *Y*: Full accounting capabilities (general ledger, financial statements) and custom report builder across all integrated apps.
- HR *Y*: Has HR apps (employees, attendance, payroll in some localizations) which can handle mover staff scheduling and payroll.
- INSTALL *BOTH*: Both – Odoo can be SaaS (Odoo Online) or self-hosted on-premise; highly modular and customizable.
- LANGUAGE:Multilingual  - available in many languages).
- NOTES: Tech-savvy moving companies that want a highly customizable system and are willing to configure an ERP to fit their operations.</t>
  </si>
  <si>
    <t>ERP, customizable</t>
  </si>
  <si>
    <t>Administer Software</t>
  </si>
  <si>
    <t>www.administersoftware.co.uk / www.remstar.co.uk</t>
  </si>
  <si>
    <t>Pricing &amp; tariff management</t>
  </si>
  <si>
    <t>UK-based integrated software for moving and logistics companies.</t>
  </si>
  <si>
    <t>- LEAD MGMT *Y*: Handles inquiries and leads, carrying data through to booking and beyond.
- SURVEYING *Y*: Dedicated surveying module to capture pre-move survey details (e.g., via mobile or form).
- QUOTING *Y*: Generates quotations from survey data, minimizing redundant data entry.
- JOB BOOKING *Y*: Converts accepted quotes to jobs; includes appointment diaries and job initiation workflows.
- MOVE MGMT *Y*: All-encompassing move management system integrating enquiry, survey, quote, and management statistics in one flow.
- DISPATCH *Y*: Features resource allocation tools to schedule crews/vehicles and a diary system for operations.
- SHIPMENTS *Y*: Additional modules handle shipping for international moves (e.g., freight and overseas agent management).
- CREW APP *Y*: Mobile access supported, allowing managers/teams to use the system on the go (adapted for dynamic operations).
- STORAGE *Y*: Modules for archive records management and self-storage management are available.
- QUALITY *Y*: Enables tracking of customer service and any claims (benefiting from BAR standards compliance).
- AR *Y*: Integrated invoicing and sales ledger to manage billing and receivables within the system.
- AP *N*: 
- ACCOUNTING *Y*: Provides management statistics and can interface with accounting; designed with industry standards (BAR) for compliance.
- HR *N*: 
- INSTALL *ON PREMISE*: On-premise Windows application (30+ years in industry), often installed at customer site (with remote access options).
- LANGUAGE:English  - 
- NOTES: Removals and storage companies (especially in UK/Europe) seeking a mature, modular system.</t>
  </si>
  <si>
    <t>Logistics</t>
  </si>
  <si>
    <t>Convergo</t>
  </si>
  <si>
    <t>https://convergo.tech/</t>
  </si>
  <si>
    <t>Pricing and procurement platform connecting corporate mobility teams with movers and destination service providers.</t>
  </si>
  <si>
    <t>- LEAD MGMT *N*: 
- SURVEYING *N*: 
- QUOTING *Y*: Instant pricing and quote comparisons for moving and destination services from qualified providers
- JOB BOOKING *N*: Online booking of moves and destination services once preferred quote is selected
- MOVE MGMT *Y*: Central platform for sourcing all relocation services (packers, movers, DSPs) with full visibility and real-time data
- DISPATCH *N*: 
- SHIPMENTS *N*: 
- CREW APP *N*: 
- STORAGE *N*: 
- QUALITY *N*: 
- AR *N*: 
- AP *N*: 
- ACCOUNTING *Y*: Provides spend and supplier performance analytics for mobility procurement (visibility into rates, savings, etc.)
- HR *N*: 
- INSTALL *Cloud*: 100% Cloud platform (web-based)
- LANGUAGE:English - 
- NOTES: Corporate HR/mobility and relocation procurement teams – to compare, book, and purchase moving and destination services at transparent, fair prices on a single platform.</t>
  </si>
  <si>
    <t>Online Booking, Quoting</t>
  </si>
  <si>
    <t>EasyTariff</t>
  </si>
  <si>
    <t>https://www.easytariff.com</t>
  </si>
  <si>
    <t>Military</t>
  </si>
  <si>
    <t>Web-based tariff rating tool for moving companies supporting industry-standard pricing.</t>
  </si>
  <si>
    <t>- LEAD MGMT *N*: 
- SURVEYING *N*: 
- QUOTING *Y*: Tariff rating software – quickly computes charges for moves under 400NG, GSA500A or custom tariffs (accessorial, mileage, etc.)
- JOB BOOKING *N*: 
- MOVE MGMT *N*: 
- DISPATCH *N*: 
- SHIPMENTS *N*: 
- CREW APP *N*: 
- STORAGE *UNVERIFIED*: 
- QUALITY *N*: 
- AR *Y*: Ensures accurate billing for military/GSA moves by applying the correct tariff rates and rules (no manual calculations)
- AP *N*: 
- ACCOUNTING *Y*: Provides audit trail of tariff calculations and can export rated shipments for accounting
- HR *N*: 
- INSTALL *Web Based*: Web-based (secure online tariff application)
- LANGUAGE:English  - 
- NOTES: Moving companies handling U.S. military or government moves – EasyTariff lets them easily calculate 400NG/GSA tariff charges and produce compliant quotes/bills without errors. Annual license pricing and seat limits, Calculation history and concurrency details.</t>
  </si>
  <si>
    <t>AI | AI Pricing/Quoting</t>
  </si>
  <si>
    <t>Matt Moving Systems</t>
  </si>
  <si>
    <t>http://mattmovingsystems.com</t>
  </si>
  <si>
    <t>Web-based portal for managing and sharing moving rate information.</t>
  </si>
  <si>
    <t>- LEAD MGMT *N*: 
- SURVEYING *N*: 
- QUOTING *Y*: Instant online rate quotes for international moves.
- JOB BOOKING *Y*: Customers can directly book moving services in real-time through the system.
- MOVE MGMT *Y*: Cloud-based agent network for coordinating origin/destination services and communication.
- DISPATCH *N*: 
- SHIPMENTS *Y*: Enables worldwide partner coordination by sharing destination service rates and details online.
- CREW APP *N*: 
- STORAGE *N*: 
- QUALITY *N*: 
- AR *N*: 
- AP *N*: 
- ACCOUNTING *N*: 
- HR *N*: 
- INSTALL *Web Based*: Web (cloud platform accessible via browser).
- LANGUAGE:English  - 
- NOTES: International moves and overseas agent networks. Cannot access the web page. Is used by some FIDI-affiliated companies. Originally developed by a former Tippet Richardson staff member. The interface and functionality are basic, with a focus on direct rate visibility rather than full move management.</t>
  </si>
  <si>
    <t>AI | AI Automation</t>
  </si>
  <si>
    <t>Movewise (AI Relocation Portal)</t>
  </si>
  <si>
    <t>https://movewise.ai/features/</t>
  </si>
  <si>
    <t>Software for moving companies covering pricing, scheduling, and customer management.</t>
  </si>
  <si>
    <t>- LEAD MGMT *N*: 
- SURVEYING *N*: 
- QUOTING *Y*: Employees can see and manage their relocation budget/spend in the platform.
- JOB BOOKING *N*: 
- MOVE MGMT *Y*: Employee relocation self-service – employees can customize which relocation services they need and initiate those (e.g. select movers, housing, schools).
- DISPATCH *N*: 
- SHIPMENTS *N*: 
- CREW APP *N*: 
- STORAGE *N*: 
- QUALITY *N*: 
- AR *N*: 
- AP *N*: 
- ACCOUNTING *Y*: Reporting for HR on relocation statuses and costs; analytics on program utilization.
- HR *N*: 
- INSTALL *Cloud*: Cloud (web portal for HR and employees).
- LANGUAGE:English  - 
- NOTES: Corporate relocations (lump-sum or flexible) – Movewise empowers transferring employees to arrange their move (choose services, get destination info) while giving HR oversight and cost control.</t>
  </si>
  <si>
    <t>AI, Scheduling | AI Pricing/Quoting</t>
  </si>
  <si>
    <t>Moving Pros Network LLC</t>
  </si>
  <si>
    <t>https://www.movingprosnetwork.com/</t>
  </si>
  <si>
    <t>Tariff calculator and publishing tools for moving companies.</t>
  </si>
  <si>
    <t>- LEAD MGMT *N*: 
- SURVEYING *N*: 
- QUOTING *N*: 
- JOB BOOKING *N*: 
- MOVE MGMT *Y*: Relocation Program Mgmt: Acted as an intermediary platform for movers – included an arbitration program and other support services for member movers.
- DISPATCH *N*: 
- SHIPMENTS *Y*: Dispute Arbitration: Provided a federally compliant dispute settlement program for interstate moving claims, helping coordinate resolution of loss/damage issues.
- CREW APP *N*: 
- STORAGE *N*: 
- QUALITY *Y*: Dispute Settlement Program to handle customer claims, ensuring quality standards and legal compliance.
- AR *N*: 
- AP *N*: 
- ACCOUNTING *N*: 
- HR *N*: 
- INSTALL *Web Based*: Web Portal: Provided an online platform for member movers and customers (company is now inactive).
- LANGUAGE:English - 
- NOTES: Moving company network (lead generation and compliance support for independent movers, including a claims arbitration program). The company appears to focus solely on the U.S. market. Public-facing activity and online presence are limited, and current operational status is unclear.</t>
  </si>
  <si>
    <t>Tariff calculator, Rate calculations</t>
  </si>
  <si>
    <t>PricePoint</t>
  </si>
  <si>
    <t>https://www.pricepointmoves.com</t>
  </si>
  <si>
    <t>Web-based platform for pricing and bid management in the moving industry.</t>
  </si>
  <si>
    <t>- LEAD MGMT *N*: 
- SURVEYING *N*: 
- QUOTING *Y*: Bidding platform – RMCs or corporations get multiple movers to quote fixed prices for a shipment within a set timeframe
- JOB BOOKING *Y*: Allows mobility managers to create a shipment request and award the move to the winning mover digitally (all parties notified)
- MOVE MGMT *Y*: Centralizes move pricing and procurement: one portal to manage RFQs, compare mover bids, award shipments, and oversee execution status
- DISPATCH *N*: 
- SHIPMENTS *Y*: Tracks shipment status updates from the booked mover (integrates with mover systems for real-time milestones)
- CREW APP *N*: 
- STORAGE *N*: 
- QUALITY *Y*: Aggregates data on extra charges, service quality, and compliance – enabling benchmarking of movers and identification of outliers
- AR *Y*: Streamlines invoicing by locking in prices upfront; supports cost allocation reports for clients
- AP *N*: 
- ACCOUNTING *Y*: Detailed cost analytics and savings reports (e.g. average cost per lane, policy exception reports, etc.)
- HR *N*: 
- INSTALL *Cloud*: Cloud (web portal)
- LANGUAGE:English - 
- NOTES: Relocation Management Companies and corporate mobility/procurement teams aiming to drive down move costs – PricePoint provides a neutral platform for getting binding move quotes, selecting the best value mover, and analyzing cost data across movers and lanes. Its site includes modules like Portal for managing household goods programs, Mover2Mover for network rate sharing, Tariff Engine for flexible rate management, RFPricePoint for procurement, and MoveWizard for cost estimation.</t>
  </si>
  <si>
    <t>Relocation management, Quptes, Move Rate comparison</t>
  </si>
  <si>
    <t>Altair Global</t>
  </si>
  <si>
    <t>https://www.altairglobal.com/</t>
  </si>
  <si>
    <t>Not Available</t>
  </si>
  <si>
    <t>Relocation management platform (RMC)</t>
  </si>
  <si>
    <t>Not available commercially. In hosue software for Corporate relocation and mobility management services including immigration, move management, destination services, and expense tracking.</t>
  </si>
  <si>
    <t>- LEAD MGMT *N*: 
- SURVEYING *N*: 
- QUOTING *N*: 
- JOB BOOKING *N*: 
- MOVE MGMT *N*: 
- DISPATCH *N*: 
- SHIPMENTS *N*: 
- CREW APP *N*: 
- STORAGE *N*: 
- QUALITY *N*: 
- AR *N*: 
- AP *N*: 
- ACCOUNTING *N*: 
- HR *N*: 
- INSTALL *Web Based*: Web-based
- LANGUAGE:English - 
- NOTES: Global corporate relocation and mobility services</t>
  </si>
  <si>
    <t>Relocation management</t>
  </si>
  <si>
    <t>Envoy Global</t>
  </si>
  <si>
    <t>https://www.envoyglobal.com/</t>
  </si>
  <si>
    <t>Corporate HR and legal software for managing global immigration and work visa processes.</t>
  </si>
  <si>
    <t>- LEAD MGMT *N*: 
- SURVEYING *N*: 
- QUOTING *N*: 
- JOB BOOKING *N*: 
- MOVE MGMT *Y*: Handles every step of global immigration cases for employees, helping HR attract, hire, and manage international talent by making visa processes efficient.
- DISPATCH *Y*: Automates form filing, case tracking, and reminders so HR and attorneys stay on schedule; offers a Communication Center for messages and real-time case status visibility.
- SHIPMENTS *Y*: Manages securing work authorizations in every destination country (Envoy’s system expands to outbound immigration in multiple countries).
- CREW APP *Y*: Mobile Access:HR and employees can access case details on any device; employees can check status, upload documents, and receive notifications of milestones via the platform (including mobile).
- STORAGE *N*: 
- QUALITY *Y*: All immigration data is centralized and protected; tracks expirations (visa status, I-94, etc.) and sends alerts, reducing compliance risk.
- AR *N*: 
- AP *N*: 
- ACCOUNTING *Y*: Provides HR with dashboards on case volumes, timelines, and spend, plus forecasting tools for immigration program budgeting.
- HR *Y*: Integrates with HR systems, and gives HR teams a unified tool to manage international hires, including policy compliance and employee communication.
- INSTALL *Cloud*: Cloud: Web-based SaaS platform (employees and HR log in; also has mobile-friendly interface).
- LANGUAGE:English  - 
- NOTES: Corporate immigration – employers managing visa sponsorship and work permit compliance for global hires (combining legal services + tech platform for immigration).</t>
  </si>
  <si>
    <t>Compliance HR, Visa, Immigration, Legal</t>
  </si>
  <si>
    <t>International Relo. Platform (Moovaz)</t>
  </si>
  <si>
    <t>https://www.linkedin.com/products/moovaz-relocation-platform/</t>
  </si>
  <si>
    <t>Corporate mobility platform for employee commuting and relocation management.</t>
  </si>
  <si>
    <t>- LEAD MGMT *N*: 
- SURVEYING *N*: 
- QUOTING *Y*: Offers instant pricing for various relocation services (visa, moving, pet relocation, etc.) as part of its all-in-one platform
- JOB BOOKING *Y*: Clients can book comprehensive relocation packages directly on the Moovaz platform – from visa arrangements to household goods shipping
- MOVE MGMT *Y*: Moovaz’s platform manages the entire relocation by integrating pre-departure services (immigration, home search) with shipment and settling-in services in one ecosystem.
- DISPATCH *Y*: 
- SHIPMENTS *Y*: Manages international moving of household goods (door-to-door), providing tracking and coordination between origin and destination partners
- CREW APP *N*: 
- STORAGE *N*: 
- QUALITY *Y*: Monitors each service provider in the platform (e.g. immigration agents, movers) and eliminates manual errors. By handling everything digitally, it reduces delays and improves customer satisfaction (stress-free guarantee).
- AR *Y*: Unified Billing: Provides one consolidated invoice or payment system for all selected services in the relocation package
- AP *Y*: Manages payments to multiple service providers behind the scenes; clients pay Moovaz, and Moovaz pays the vendors – the platform ensures all payables (visa fees, movers, etc.) are handled seamlessly (not visible to user).
- ACCOUNTING *Y*: Leverages data to continually improve efficiency and cost (e.g., suggests optimal consolidation opportunities); provides internal reports on time/cost per move, and customers get visibility into where their money goes for each component.
- HR *Y*: 
- INSTALL *Cloud*: Cloud Marketplace: Entirely web-based platform that clients access through the Moovaz website; partners (vendors) also log in online to manage their part. No on-premise install needed.
- LANGUAGE:Multilingual - Singapore-based; likely also supports local languages or translations)
- NOTES: Full-service international relocation – one-stop platform for individuals or companies to arrange all aspects of an overseas move (visas, shipping household goods, home finding, pet relocation, etc.).</t>
  </si>
  <si>
    <t>AI, Logistics, Mobile App | AI Automation</t>
  </si>
  <si>
    <t>I-RMS Relocation</t>
  </si>
  <si>
    <t>https://i-rms.online/</t>
  </si>
  <si>
    <t>Relocation management software for HR teams.</t>
  </si>
  <si>
    <t>y</t>
  </si>
  <si>
    <t>- LEAD MGMT *Y*: Full CRM/ERP for relocation firms—covers end-to-end operations from client acquisition through service delivery with assignee/consultant apps and analytics dashboards
- SURVEYING *Y*: Photo inspection app with markup, eSignature, condition reports.
- QUOTING *y*: RFP sales process, dynamic rates/pricing modules
- JOB BOOKING *Y*: Initiates new relocations and services, replacing emails with automated case setup for each transferring employee.
- MOVE MGMT *Y*: Manage all relocation services (home search, immigration, household goods, etc.) in one place, with real-time updates and alerts for each stakeholder.
- DISPATCH *Y*: Provides real-time updates, “IM Talk” chat, and auto-filled emails to coordinate between HR, RMC, DSPs, and assignees efficiently
- SHIPMENTS *Y*: Service Partner Portal: Allows destination service providers and immigration providers to access cases, update status, and share documents in-system
- CREW APP *Y*: Mobile Alerts: Assignees receive alerts, updates, and reminders on their mobile devices through the platform (ensuring they complete tasks and stay informed).
- STORAGE *N*: 
- QUALITY *Y*: Offers visibility for HR into each case’s progress and can capture service feedback; ensures nothing falls through cracks via real-time task tracking (claims handling if any can be logged in system).
- AR *N*: 
- AP *Y*: Supplier Payments: Can manage authorization of vendor services and track vendor invoices to streamline payable processes for relocations (e.g., pay DSPs, movers through the system).
- ACCOUNTING *Y*: Dashboard analytics on relocation timelines, service usage, and costs; standard and custom reports for program management are provided (data-driven decision support).
- HR *Y*: Built for Relocation Management Co. and corporate HR to oversee relocations; integrates HR needs like policy enforcement, automated communication, and case auditing.
- INSTALL *Cloud*: Cloud (SaaS): Web-based platform, accessible anywhere by authorized users (no on-prem installation required).
- LANGUAGE:Multilingual - likely supports other languages via customization)
- NOTES: Relocation management – for RMCs and corporate mobility teams to coordinate all aspects of an employee’s relocation in one system (supplier coordination, assignee communication, case tracking).</t>
  </si>
  <si>
    <t>Jobbatical</t>
  </si>
  <si>
    <t>https://www.jobbatical.com/</t>
  </si>
  <si>
    <t>Global immigration and relocation platform for corporate HR teams covering visas, case tracking, and document management.</t>
  </si>
  <si>
    <t>- LEAD MGMT *N*: 
- SURVEYING *N*: 
- QUOTING *N*: 
- JOB BOOKING *UNVERIFIED*: 
- MOVE MGMT *Y*: Immigration-focused relocation platform automating visa/work permit processes and tracking every step of an employee’s international move in one place.
- DISPATCH *N*: 
- SHIPMENTS *Y*: Immigration &amp; Settling-In: Coordinates visa applications, residence permits, local registrations, and even some settling-in services through its network of experts.
- CREW APP *Y*: Mobile Access: (For assignees) The platform provides real-time updates, notifications, and a dashboard accessible on any device, keeping relocating employees informed of next steps and deadlines.
- STORAGE *N*: 
- QUALITY *N*: 
- AR *N*: 
- AP *N*: 
- ACCOUNTING *Y*: Provides HR with status dashboards and reports on immigration cases, including cost overview per case and compliance metrics.
- HR *Y*: For HR/global mobility teams to reduce manual workload with automated workflows, and integrate with HR data
- INSTALL *Cloud*: Cloud: SaaS platform (web-based) with high security (GDPR compliant) – accessible globally.
- LANGUAGE:English  - 
- NOTES: Global immigration &amp; relocation – managing work visas, permits, and settling-in for international hires; ideal for tech startups and multinationals moving talent across borders.</t>
  </si>
  <si>
    <t>AI, Compliance, Logistics | AI Automation</t>
  </si>
  <si>
    <t>Mobicity (Brazil)</t>
  </si>
  <si>
    <t>https://www.mobicity.com.br</t>
  </si>
  <si>
    <t>Corporate mobility management platform integrating multiple transportation providers.</t>
  </si>
  <si>
    <t xml:space="preserve">Portuguese </t>
  </si>
  <si>
    <t>- LEAD MGMT *N*: 
- SURVEYING *N*: 
- QUOTING *N*: 
- JOB BOOKING *Y*: Employees use one app to plan and book all modes of corporate travel (e.g., hailing a taxi or reserving a fleet car), all authorized under company’s mobility program.
- MOVE MGMT *Y*: Centralized platform to manage corporate transportation, route planning, integrating multiple transport providers (taxis, ride apps, car rentals, private shuttles)
- DISPATCH *Y*: Route Optimization
- SHIPMENTS *Y*: Integrates data from taxi co-ops, rideshare apps, vehicle rental agencies, and company fleets into a single system – giving live oversight of all corporate transportation activities (no freight, purely people transport).
- CREW APP *Y*: Mobile app through which employees can access all approved transport options. They request rides or book vehicles via the app; the platform tracks these in real time and provides the employee a seamless experience across modes.
- STORAGE *N*: 
- QUALITY *Y*: Provides real-time reports to managers (dashboard with mobility data) ensuring policy compliance (e.g., approved vendors) and highlighting cost savings.
- AR *Y*: Automates auditing and payment of transport expenses. For example, all taxi rides taken via the app are aggregated and billed to the company with one monthly invoice, simplifying AR for transport providers and AP for the company.
- AP *Y*: The platform automates payment processes for all modes (company gets a single bill or uses the integrated payment card). It also audits usage (preventing fraud by requiring GPS-verified rides, etc.)
- ACCOUNTING *Y*: Analytics on usage patterns, route efficiencies, and carbon footprint. Managers can see precise data to make strategic decisions (e.g., adjust shuttle routes)
- HR *Y*: Tipically managed by HR or Facilities departments to provide employee transportation as a perk and ensure safe, efficient commutes. It ties into employee rosters and work schedules (some integrations possible) but is not an HRIS.
- INSTALL *Cloud*: Cloud &amp; Mobile: Cloud-based management dashboard + employee mobile app. All data is stored centrally and accessible securely via web; app works 24/7 with offline support for route planning.
- LANGUAGE:Portuguese  - UI in PT; supports multi-language for global clients)
- NOTES: Corporate mobility (transport) – optimizing employee transportation and commuting in large organizations (especially in Brazil/LatAm), reducing transport costs and coordinating company fleets, taxis, and ride-shares (non-relocation usage).</t>
  </si>
  <si>
    <t>AI, Fleet | AI Automation</t>
  </si>
  <si>
    <t>Mobility Empowered</t>
  </si>
  <si>
    <t>https://www.mobilityempowered.net/</t>
  </si>
  <si>
    <t>Relocation management platform for HR teams with supplier marketplace and pricing tools.</t>
  </si>
  <si>
    <t>- LEAD MGMT *N*: 
- SURVEYING *N*: 
- QUOTING *Y*: Employees can get multiple instant quotes from different vetted suppliersfor each relocation service
- JOB BOOKING *Y*: Employees (or their employer) can directly select and book the desired relocation services through the online marketplace, for moving, rental car, temp housing, etc.
- MOVE MGMT *Y*: Empowered Coordination: The platform removes middlemen – transferees, corporate managers, and suppliers collaborate directly in a unified system, coordinate all services without a traditional RMC counselor.
- DISPATCH *Y*: Supplier E-Sourcing: suppliers list services and prices, and employees choose. The system handles scheduling and communications with chosen vendors automatically (including API integrations for real-time updates).
- SHIPMENTS *Y*: Compare options for shipments (sea vs. air, different carriers) side-by-side. Once booked, track service progress and provide reviews
- CREW APP *Y*: Employees have a portal (desktop/mobile) to manage their relocation tasks. Transferees essentially act as project managers of their move, with live chat support and dashboards for status.
- STORAGE *N*: 
- QUALITY *Y*: After using a service, employees rate and review suppliers on the platform, driving quality up via competition. The system also shows only trusted, evaluated suppliers to maintain high standards.
- AR *Y*: Offers company billing or COD options – meaning the company can be billed directly for all services or the employee can pay and get reimbursed. The platform consolidates all costs, so employers get one invoice covering all relocation components instead of many.
- AP *Y*: Supports integrated payment processing to suppliers (credit card, direct bill) and eliminates redundant data entry in expense systems by capturing all spend in-platform. Also provides auditing tools for relocation expenses
- ACCOUNTING *Y*: Highlights cost savings achieved by competitive bidding and consolidated sourcing. Provides analytics on spend per category, supplier performance, and can integrate with HR/finance systems for further analysis.
- HR *Y*: Allows HR to offer a lump-sum or managed cap relocation benefit and give employees the freedom to allocate it via the platform. Reduces HR admin by automating policy enforcement (only approved services can be purchased) and providing insight into how employees use their funds.
- INSTALL *Cloud*: Cloud Marketplace: 100% online, multi-tenant platform. It integrates via APIs with suppliers and can be branded for corporate clients.
- LANGUAGE:English - 
- NOTES: Lump-sum relocations &amp; DIY approach – companies or RMCs that want a cost-effective, open relocation marketplace for employees to self-manage their move, with transparent pricing and choice (global coverage).</t>
  </si>
  <si>
    <t>Logistics, Quoting</t>
  </si>
  <si>
    <t>Noah Mobility (ARK ONE)</t>
  </si>
  <si>
    <t>https://www.noah-mobility.de/</t>
  </si>
  <si>
    <t>Mobility management software for moving companies.</t>
  </si>
  <si>
    <t>- LEAD MGMT *N*: 
- SURVEYING *N*: 
- QUOTING *Y*: Allows users (HR or assignees) to request and receive quotes for various relocation services (household goods moving, immigration, etc.) in one platform.
- JOB BOOKING *Y*: Enables HR to initiate and approve relocation services. Once approved, triggers coordination with service providers.
- MOVE MGMT *Y*: Holistic global mobility platform – tracks every relocation task (visa, home search, HHG move) in one dashboard for assignees and HR.
- DISPATCH *N*: 
- SHIPMENTS *Y*: Partners with moving companies; monitors shipments’ progress and updates both relocating employee and HR on status.
- CREW APP *Y*: Mobile app for relocating employees to view status, upload documents, and complete tasks; providers (like movers) update status via their interfaces.
- STORAGE *N*: 
- QUALITY *Y*: Offers a centralized view of relocation progress to address issues; collects feedback after each service to ensure quality.
- AR *Y*: Handles relocation expense management – collects moving invoices, audits them, and presents to corporate clients for approval/payment.
- AP *Y*: Manages payments to vendors (e.g., moving companies) as part of the relocation package administration.
- ACCOUNTING *Y*: Analytics for relocation costs, service performance, and compliance across all moves; real-time reporting for HR teams.
- HR *Y*: Designed for HR/global mobility teams to manage employee relocations, including policy management and cost projections.
- INSTALL *Cloud*: Cloud-based (accessible globally); includes web and mobile interfaces for all stakeholders.
- LANGUAGE:Multilingual - with multi-language support for assignees).
- NOTES: Corporate relocations – companies managing employee moves internationally (focus on overall relocation services, not just household goods).</t>
  </si>
  <si>
    <t>Mobility management, corporate relocations</t>
  </si>
  <si>
    <t>Orion Mobility</t>
  </si>
  <si>
    <t>https://www.orionmobility.com/</t>
  </si>
  <si>
    <t>Relocation management services for employee relocations.</t>
  </si>
  <si>
    <t>- LEAD MGMT *N*: 
- SURVEYING *N*: 
- QUOTING *N*: 
- JOB BOOKING *N*: 
- MOVE MGMT *Y*: Platform for full relocation lifecycle
- DISPATCH *N*: 
- SHIPMENTS *N*: 
- CREW APP *N*: 
- STORAGE *N*: 
- QUALITY *N*: 
- AR *Y*: Employee/supplier expense processing
- AP *Y*: Supplier payment processing
- ACCOUNTING *Y*: Tax/payroll reporting for relocations
- HR *N*: 
- INSTALL *Web Based*: Web platform
- LANGUAGE:English - 
- NOTES: Large corporate relocation expense management</t>
  </si>
  <si>
    <t>Parsifal Corporation</t>
  </si>
  <si>
    <t>https://www.parsifalcorp.com/</t>
  </si>
  <si>
    <t>Relocation services provider offering audit, consulting, expense management, and technology solutions.</t>
  </si>
  <si>
    <t>- LEAD MGMT *N*: 
- SURVEYING *N*: 
- QUOTING *Y*: Procurement tools (RFP/RFQ platforms) for obtaining multiple moving bids and comparing costs for corporate clients.
- JOB BOOKING *Y*: Coordinates the selection of moving providers for corporate relocations once bids are reviewed (procurement decision support).
- MOVE MGMT *N*: 
- DISPATCH *N*: 
- SHIPMENTS *N*: 
- CREW APP *N*: 
- STORAGE *N*: 
- QUALITY *Y*: Renowned for relocation auditing – audits mover invoices for accuracy and policy compliance, ensuring cost control.
- AR *N*: 
- AP *Y*: Procurement tech that verifies and sometimes pays moving invoices on behalf of clients, catching overcharges (AP auditing).
- ACCOUNTING *Y*: Extensive auditing reports and cost analyses for corporate relocation programs; integrates data into client financial systems.
- HR *N*: 
- INSTALL *Web Based*: Web-based systems (e.g., Parsifal Audit System, MoveMetric) providing real-time auditing and transparency.
- LANGUAGE: - 
- NOTES: Corporate relocations and relocation management companies focusing on auditing moving expenses and procurement compliance.</t>
  </si>
  <si>
    <t>Relocation, Move management, Audit</t>
  </si>
  <si>
    <t>ReloHub (NRI Relocation)</t>
  </si>
  <si>
    <t>https://nrirelocation.com/relocation-technology/</t>
  </si>
  <si>
    <t>Technology platform for managing corporate relocation processes.</t>
  </si>
  <si>
    <t>- LEAD MGMT *N*: 
- SURVEYING *N*: 
- QUOTING *Y*: Cost estimate tools and budgets for corporate users.
- JOB BOOKING *N*: 
- MOVE MGMT *Y*: Manage internal job transfers and career evolutions within an organization, matching employees to internal openings and tracking their transition
- DISPATCH *Y*: Helps HR plan and execute employee movements between roles/departments; includes a “job marketplace” for internal opportunities (no dispatch of moving crews, only position changes).
- SHIPMENTS *N*: 
- CREW APP *N*: 
- STORAGE *N*: 
- QUALITY *Y*: Tracks internal mobility KPIs (time to fill internal roles, employee satisfaction with moves) rather than relocation claims. Quality measured by retention and engagement improvements.
- AR *N*: 
- AP *Y*: Integrates with HR payroll to update compensation after internal moves; automates administrative tasks like issuing new contracts
- ACCOUNTING *Y*: Provides reports on internal mobility trends, succession pipeline strength, total Relocation Cost Reporting, Live Service Status Reports, Policy Exception &amp; Denial Cost Reporting, U.S. Payroll &amp; Tax Reporting
- HR *Y*: Part of Altays’ HR suite, designed for HR departments to manage talent mobility and succession planning in-house (non-geographic moves).
- INSTALL *Cloud*: Cloud (SaaS): Part of Altays’ cloud-based HRIS solutions (offered as a web application).
- LANGUAGE:Multilingual - French (product of a French HR software firm). English
- NOTES: Internal career moves – managing promotions, transfers, and succession planning within large organizations (not a household relocation tool; it’s an HR mobility solution).</t>
  </si>
  <si>
    <t>ReloQuest</t>
  </si>
  <si>
    <t>https://reloquest.com/</t>
  </si>
  <si>
    <t>Relocation management platform for tracking employee relocations and vendors.</t>
  </si>
  <si>
    <t>- LEAD MGMT *N*: 
- SURVEYING *N*: 
- QUOTING *N*: 
- JOB BOOKING *Y*: Search and book furnished apartments/hotels
- MOVE MGMT *N*: 
- DISPATCH *N*: 
- SHIPMENTS *N*: 
- CREW APP *N*: 
- STORAGE *N*: 
- QUALITY *N*: 
- AR *N*: 
- AP *N*: 
- ACCOUNTING *N*: 
- HR *N*: 
- INSTALL *Cloud*: Cloud-based
- LANGUAGE:English - 
- NOTES: Temporary lodging booking (corporate relocations)</t>
  </si>
  <si>
    <t>Relocation Management, Expense tracking</t>
  </si>
  <si>
    <t>Skipr</t>
  </si>
  <si>
    <t>https://www.skipr.co/</t>
  </si>
  <si>
    <t>Mobility management software integrating employee transportation options.</t>
  </si>
  <si>
    <t>- LEAD MGMT *N*: 
- SURVEYING *N*: 
- QUOTING *N*: 
- JOB BOOKING *N*: 
- MOVE MGMT *Y*: Corporate Mobility-as-a-Service platform that allows companies to offer employees a flexible mobility budget (in lieu of company car), managing all commuting and business travel modes in one place.
- DISPATCH *Y*: The platform integrates and “dispatches” across modes – employees plan trips via the Skipr app which combines public transit, ride-hailing, car rental, shared bikes, etc.
- SHIPMENTS *Y*: Multimodal Transport: Connects to taxi services, public transit, car hire, etc., and consolidates all transport options and transactions on a single platform for each employee (no freight shipments involved).
- CREW APP *Y*: Employee App: Yes – Skipr includes a mobile app that employees use to plan and pay for their transportation, with the provided payment card and app automatically logging expenses and routes (real-time data to managers).
- STORAGE *N*: 
- QUALITY *Y*: Sustainability &amp; QA: Emphasizes reducing carbon footprint and measuring usage; provides data so companies can adjust policies. (Quality measured in cost savings and employee uptake rather than traditional claims.)
- AR *Y*: Expense Integration: Yes – automates all transport expense processing: employees use a Skipr payment card or app, and the platform centralizes all mobility expenses for employer oversight.
- AP *Y*: Offers direct payment options (company-billed or employee prepaid) for mobility services and automates auditing and reimbursement of travel costs.
- ACCOUNTING *Y*: Analytics on spend by mode, per employee, and CO2 impact
- HR *Y*: HR/Benefits: Tied into HR as an employee benefit – helps HR offer modern mobility perks and track usage, but not an HRIS. Integrates with HR systems to validate eligibility, etc.
- INSTALL *Cloud*: Cloud + App: Cloud-based management dashboard for employers and a mobile app + payment card for employees (no on-prem).
- LANGUAGE:Multilingual - French, Dutch, English
- NOTES: Corporate mobility (commuting) – enabling employees to use diverse transport options under one company-managed budget, replacing company cars (not household relocation at all).</t>
  </si>
  <si>
    <t>Mobility management, Transportation</t>
  </si>
  <si>
    <t>Smart Moving (Ark One / Noah)</t>
  </si>
  <si>
    <t>https://www.ark-one.com.ph/</t>
  </si>
  <si>
    <t>Platform for corporate relocations covering service selection, tracking, and budgeting.</t>
  </si>
  <si>
    <t xml:space="preserve">- LEAD MGMT *Y*: Relocation management platform that allows HR to initiate and oversee employee moves in one system.
- SURVEYING *N*: 
- QUOTING *Y*: Relocation cost budgeting and estimates for each move (with real-time cost tracking against allowance).
- JOB BOOKING *Y*: HR or employees can request and book services (household goods shipment, immigration, etc.) through the platform.
- MOVE MGMT *Y*: Unified move coordination – tracks all relocation services (visa, home search, moving, etc.) and progress milestones in one dashboard.
- DISPATCH *N*: 
- SHIPMENTS *N*: 
- CREW APP *N*: 
- STORAGE *N*: 
- QUALITY *N*: 
- AR *N*: 
- AP *N*: 
- ACCOUNTING *Y*: Built-in analytics and reports on relocation program (costs, timelines, service utilization).
- HR *Y*: HR integrations (Workday, etc.) to pull employee data; Slack integration for notifications.
- INSTALL *Cloud*: Cloud (ARKONE web portal) – accessible globally.
- LANGUAGE:Multilingual - and local languages via service providers
- NOTES: </t>
  </si>
  <si>
    <t>Corporate relocations, HR</t>
  </si>
  <si>
    <t>The Relocator</t>
  </si>
  <si>
    <t>https://the-relocator.com/</t>
  </si>
  <si>
    <t>Relocation management services with tools for managing employee relocations.</t>
  </si>
  <si>
    <t>- LEAD MGMT *Y*: Generates quotes from multiple international movers
- SURVEYING *N*: 
- QUOTING *N*: 
- JOB BOOKING *N*: 
- MOVE MGMT *N*: 
- DISPATCH *N*: 
- SHIPMENTS *N*: 
- CREW APP *N*: 
- STORAGE *N*: 
- QUALITY *N*: 
- AR *N*: 
- AP *N*: 
- ACCOUNTING *N*: 
- HR *N*: 
- INSTALL *Web Based*: Web portal
- LANGUAGE:Multilingual - English, Dutch, French, Spanish
- NOTES: Consumer international move quotes</t>
  </si>
  <si>
    <t>Topia</t>
  </si>
  <si>
    <t>https://www.topia.com/move-management</t>
  </si>
  <si>
    <t>- LEAD MGMT *N*: 
- SURVEYING *N*: 
- QUOTING *Y*: Includes scenario planning tools that instantly calculate relocation/assignment costs and tax implications for different move scenarios.
- JOB BOOKING *N*: 
- MOVE MGMT *Y*: Plan and manage international relocations and assignments, with automated workflows covering all relocation tasks.
- DISPATCH *N*: 
- SHIPMENTS *Y*: Coordinates various relocation services (visa, shipping, housing, etc.) through one platform; integrates suppliers and tracks their delivery for each case.
- CREW APP *N*: 
- STORAGE *N*: 
- QUALITY *Y*: (Also provides employee feedback tools to measure satisfaction
- AR *Y*: Manages relocation budgets, monitors spend vs. budget, and can integrate with financial systems for cost tracking.
- AP *Y*: Handles global compensation updates, tax gross-ups, and reimbursements as part of the assignment management.
- ACCOUNTING *Y*: Reporting, cost projections, real-time analytics on program spend, and built-in tax logic for withholding and filings.
- HR *Y*: Connects with HRIS and talent management, aligning relocations with broader talent strategy; used by HR for approvals and tracking.
- INSTALL *Cloud*: Cloud (SaaS): Topia One platform is cloud-based and accessible globally.
- LANGUAGE:English  - 
- NOTES: Corporate global mobility – managing employee relocations, international assignments, and expatriate programs for large companies (Fortune 1000, etc.).</t>
  </si>
  <si>
    <t>Relocation management,HR</t>
  </si>
  <si>
    <t>UrbanBound</t>
  </si>
  <si>
    <t>https://www.urbanbound.com/</t>
  </si>
  <si>
    <t>Relocation software for HR teams covering cost management and relocation tracking.</t>
  </si>
  <si>
    <t>- LEAD MGMT *N*: 
- SURVEYING *N*: 
- QUOTING *N*: 
- JOB BOOKING *Y*: Employees can arrange services (packers, apartment search, etc.) through approved suppliers in the UrbanBound portal, “booking” needed services
- MOVE MGMT *Y*: Centralized relocation management portal for companies and their transferring employees to coordinate all aspects of the move (checklists, tasks, suppliers, etc.).
- DISPATCH *Y*: Supplier Coordination: Connects employees with a network of vetted service providers (movers, realtors, etc.) at pre-negotiated rates, and tracks those services through the platform.
- SHIPMENTS *Y*: Provides forecasts of total relocation cost and tracks spend against budgets.
- CREW APP *N*: 
- STORAGE *N*: 
- QUALITY *N*: 
- AR *Y*: Enables companies to predict and monitor relocation expenses, aggregating costs from all services in one dashboard.
- AP *N*: 
- ACCOUNTING *Y*: Provides reporting on relocation utilization, spend, and policy compliance (used to demonstrate cost savings and program performance).
- HR *Y*: Guiding new hires/transferees, tying relocation into HR onboarding processes
- INSTALL *Cloud*: Cloud: Web-based platform (employees and HR log in via browser; no on-prem version).
- LANGUAGE:English - 
- NOTES: Employee relocations – companies moving new hires or transfers, especially under lump-sum or managed budget programs seeking a streamlined, self-service solution.</t>
  </si>
  <si>
    <t>Relocation management, HR</t>
  </si>
  <si>
    <t>Anecom (ACMS)</t>
  </si>
  <si>
    <t>https://anecom.com/#acmssection</t>
  </si>
  <si>
    <t>Fine Art Movers</t>
  </si>
  <si>
    <t>Specialized moving software</t>
  </si>
  <si>
    <t>Art collection management software.</t>
  </si>
  <si>
    <t>- LEAD MGMT *N*: 
- SURVEYING *N*: 
- QUOTING *Y*: Request/manage art transport estimates
- JOB BOOKING *N*: 
- MOVE MGMT *Y*: Manage fine art shipping projects &amp; logistics
- DISPATCH *N*: 
- SHIPMENTS *Y*: Manage art shipment logistics (vendor coordination)
- CREW APP *Y*: Mobile app for transportation, crating, annotation
- STORAGE *Y*: Inventory/storage management for art collections
- QUALITY *Y*: Conservation and condition tracking
- AR *Y*: Centralized invoice generation
- AP *N*: 
- ACCOUNTING *Y*: Reports are automatically generated based on custom schedules and sent to the appropriate manager.
- HR *N*: 
- INSTALL *Web Based*: Web portal
- LANGUAGE:English - 
- NOTES: Museums and art logistics (collections, shipping)</t>
  </si>
  <si>
    <t>Art management</t>
  </si>
  <si>
    <t>Artfundi</t>
  </si>
  <si>
    <t>https://artfundi.tech/features</t>
  </si>
  <si>
    <t>Art collection and inventory management software.</t>
  </si>
  <si>
    <t>- LEAD MGMT *Y*: Built-in gallery/collector CRM
- SURVEYING *N*: 
- QUOTING *Y*: Inventory management, invoicing, sales tools
- JOB BOOKING *N*: 
- MOVE MGMT *N*: 
- DISPATCH *N*: 
- SHIPMENTS *Y*: RFID-based tracking of art location
- CREW APP *N*: 
- STORAGE *Y*: Real time Art inventory management
- QUALITY *N*: 
- AR *N*: 
- AP *N*: 
- ACCOUNTING *N*: 
- HR *N*: 
- INSTALL *Web Based*: Web-based
- LANGUAGE:English - 
- NOTES: Art Galleries</t>
  </si>
  <si>
    <t>Art Inventory</t>
  </si>
  <si>
    <t>Articheck</t>
  </si>
  <si>
    <t>https://www.articheck.com/solutions/shippers/</t>
  </si>
  <si>
    <t>Software for documenting and reporting artwork condition during shipments.</t>
  </si>
  <si>
    <t>- LEAD MGMT *N*: 
- SURVEYING *N*: 
- QUOTING *N*: 
- JOB BOOKING *N*: 
- MOVE MGMT *N*: 
- DISPATCH *N*: 
- SHIPMENTS *Y*: Tracks artworks during transit (with GPS &amp; photos)
- CREW APP *N*: 
- STORAGE *Y*: Digital condition reports with photos, videos, annotations.
- QUALITY *Y*: Condition reporting for artworks (photos/video)
- AR *N*: 
- AP *N*: 
- ACCOUNTING *N*: 
- HR *N*: 
- INSTALL *Web Based*: Web-based
- LANGUAGE:Multilingual - English, Dutch, French, German, Italian, Korean, Portuguese, Spanish, Traditional Chinese, and Ukrainian._x000B_
- NOTES: Movers - Art</t>
  </si>
  <si>
    <t>Art Inventory, Tracking, Artwork condition</t>
  </si>
  <si>
    <t>DriveSales</t>
  </si>
  <si>
    <t>https://drivesales.com</t>
  </si>
  <si>
    <t>Moving software focused on sales automation and move workflow management.</t>
  </si>
  <si>
    <t>- LEAD MGMT *Y*: DriveSales offers a CRM-centric platform that emphasizes sales over pure operations. aims to simplify life for moving businesses by handling customer interactions before the move
- SURVEYING *Y*: Video Surveys as a service: If your team is too busy to perform a survey – our team can perform them on your behalf. If you want your team to perform video surveys with our technology thats also a possibility.
- QUOTING *Y*: Fully flexible quoting system mentioned
- JOB BOOKING *Y*: CRM and sales workflow handle from leads to booking.
- MOVE MGMT *Y*: End-to-end from lead to move, with Electronic Bill of Lading.
- DISPATCH *Y*: Dispatch workflow included.
- SHIPMENTS *Y*: Electronic Bill of Landing
- CREW APP *N*: Not mentioned
- STORAGE *Y*: Warehouse management in higher plans.
- QUALITY *N*: Not mentioned
- AR *Y*: Payments processing
- AP *N*: Not mentioned; focuses on payments/receivables, not payables.
- ACCOUNTING *Y*: Automated reporting
- HR *N*: Not mentioned
- INSTALL *Web Based*: monthly subscriptions ($349–$499/mo), no on-premise option mentioned.
- LANGUAGE:English - 
- NOTES: Known by Reloadvisor</t>
  </si>
  <si>
    <t>AI, Sales | AI Sales Automation</t>
  </si>
  <si>
    <t>Logdio</t>
  </si>
  <si>
    <t>https://logdio.com/en/moving-software/</t>
  </si>
  <si>
    <t>Moving and delivery logistics software including job management, scheduling, contacts, and estimating.</t>
  </si>
  <si>
    <t>- LEAD MGMT *N*: dispatching, GPS, route optimization
- SURVEYING *N*: 
- QUOTING *Y*: Job supplies and estimator calculator.
- JOB BOOKING *Y*: Appointment scheduling
- MOVE MGMT *Y*: Route optimization and tracking for moves
- DISPATCH *Y*: Real-time delivery tracking and management
- SHIPMENTS *Y*: Delivery coordination
- CREW APP *Y*: 
- STORAGE *N*: 
- QUALITY *N*: Not mentioned
- AR *N*: 
- AP *Y*: Accounts payable and receivable
- ACCOUNTING *N*: 
- HR *N*: 
- INSTALL *Web Based*: 
- LANGUAGE:Multilingual - 
- NOTES: Delivery management and logistics platform: Dispatching, GPS, route optimization User Manual: https://my.logdio.com/instructions/instruction_en.pdf</t>
  </si>
  <si>
    <t>AI, Logistics, Scheduling | AI Automation</t>
  </si>
  <si>
    <t>MoveIt.ca</t>
  </si>
  <si>
    <t>https://www.moveit.ca/</t>
  </si>
  <si>
    <t>Consumer platform for comparing moving service quotes in Canada.</t>
  </si>
  <si>
    <t>- LEAD MGMT *N*: 
- SURVEYING *N*: 
- QUOTING *Y*: Multiple quotes – one request yields competitive quotes from Canadian movers
- JOB BOOKING *N*: 
- MOVE MGMT *N*: 
- DISPATCH *N*: 
- SHIPMENTS *N*: 
- CREW APP *N*: 
- STORAGE *N*: 
- QUALITY *N*: 
- AR *N*: 
- AP *N*: 
- ACCOUNTING *N*: 
- HR *N*: 
- INSTALL *Web Based*: Web platform.
- LANGUAGE:English  - 
- NOTES: Household moves in Canada – a long-running portal (since 2003) for free moving quotes from pre-screened movers, for local, long-distance, or international moves.</t>
  </si>
  <si>
    <t>Moving, Canada, Quoting, Comparison</t>
  </si>
  <si>
    <t>MoveNinja (MoveBooker)</t>
  </si>
  <si>
    <t>https://moveninja.com/</t>
  </si>
  <si>
    <t>Cloud-based platform for estimates, bookings, and move management for local movers.</t>
  </si>
  <si>
    <t>- LEAD MGMT *Y*: CRM to manage moving leads and follow-ups for small/medium movers.
- SURVEYING *N*: 
- QUOTING *Y*: Provides online estimates for moves, leveraging past data to generate quotes
- JOB BOOKING *Y*: Lets clients book moves online; it converts surveys/estimates into booked jobs
- MOVE MGMT *Y*: All-in-One Move Mgmt: lead tracking, job scheduling, crew assignments, and status tracking in one system.
- DISPATCH *Y*: Includes dispatch and crew scheduling tools (even fleet management) to assign and manage moving jobs efficiently.
- SHIPMENTS *Y*: Storage Mgmt: supports warehouse/storage management for moves that require storage-in-transit or warehousing of goods.
- CREW APP *N*: 
- STORAGE *Y*: Can manage stored items and inventory for moving/storage services (as indicated by “Storage Management” features).
- QUALITY *Y*: Uses automated follow-ups and a built-in CRM to improve customer satisfaction
- AR *Y*: Invoicing: Can generate invoices and track receivables for completed moves (integrations with accounting software possible).
- AP *Y*: Offers features like calculating crew payroll and tracking expense payouts
- ACCOUNTING *Y*: Provides reporting on sales, operations, and includes budgeting tools (e.g., quote vs actual cost analysis).
- HR *N*: 
- INSTALL *Cloud*: Cloud (SaaS): Web-based platform accessible anywhere (no on-prem install).
- LANGUAGE:English - 
- NOTES: Moving companies (SMBs) – an all-in-one moving company software for sales, dispatch, operations, and storage management. A public demo is available on the website. Support and updates are included in the monthly fee. Implementation is done remotely. The platform is positioned as a lower-cost option with essential features but limited public documentation or technical specifications.</t>
  </si>
  <si>
    <t>CRM, Dispatch, Invoicing, Online Booking, Payments</t>
  </si>
  <si>
    <t>MovePilot</t>
  </si>
  <si>
    <t>https://www.movepilot.ai/</t>
  </si>
  <si>
    <t>AI-based assistant focused on agent quoting.</t>
  </si>
  <si>
    <t>- LEAD MGMT *N*: 
- SURVEYING *N*: 
- QUOTING *Y*: 
- JOB BOOKING *N*: 
- MOVE MGMT *N*: 
- DISPATCH *N*: 
- SHIPMENTS *N*: 
- CREW APP *N*: 
- STORAGE *N*: 
- QUALITY *N*: 
- AR *N*: 
- AP *N*: 
- ACCOUNTING *N*: 
- HR *N*: 
- INSTALL *Web Based*: 
- LANGUAGE: - 
- NOTES: Nijkola's company// cannot check web page, no info</t>
  </si>
  <si>
    <t>AI, Movemanager assistant, Quoting</t>
  </si>
  <si>
    <t>Movepoint</t>
  </si>
  <si>
    <t>www.movepoint.com</t>
  </si>
  <si>
    <t>Cloud-based moving platform with tiered features for lead management, scheduling, and storage.</t>
  </si>
  <si>
    <t>- LEAD MGMT *Y*: Online lead capture and customer management for moving jobs.
- SURVEYING *N*: 
- QUOTING *Y*: Supports quick estimates and email quote approvals (with inventory-based or hourly pricing).
- JOB BOOKING *Y*: Converts leads to booked moves and populates the schedule.
- MOVE MGMT *Y*: Cloud system to handle move details, document storage, and communication in one place.
- DISPATCH *Y*: Includes a scheduling system for crews and fleet management.
- SHIPMENTS *N*: 
- CREW APP *Y*: Electronic document features (e.g., digital BOLs) accessible on tablets; no separate native app needed.
- STORAGE *Y*: Storage management supported (module for storage jobs and recurring charges).
- QUALITY *Y*: Claim management tools available to record and track claims.
- AR *Y*: Invoice generation and payment tracking integrated.
- AP *N*: 
- ACCOUNTING *Y*: Basic reporting and can export financial data to accounting software.
- HR *Y*: Employee management features (availability, assignments) are included.
- INSTALL *Web Based*: 100% web-based (cloud) SaaS.
- LANGUAGE:English  - 
- NOTES: Small to mid-size moving companies seeking a customizable cloud solution. Offers multiple subscription tiers: Lead Marketer ($97/month), KickStart ($147), Small Business ($347), and Corporate ($547) Unlimited users and storage included. Requires initial setup and training fee. No clear indication of full move management functionality. Website last updated in 2012.</t>
  </si>
  <si>
    <t>AI, Fleet, Scheduling, Storage | AI Sales Automation</t>
  </si>
  <si>
    <t>Moverboard (The MoveBoard)</t>
  </si>
  <si>
    <t>https://themoveboard.com/</t>
  </si>
  <si>
    <t>Web-based tools for movers including quoting, inventory input, customer communication, and basic CRM.</t>
  </si>
  <si>
    <t>- LEAD MGMT *Y*: Offers online form integration to capture leads directly from the mover’s website.
- SURVEYING *Y*: Provides an in-home estimate portal (clients can schedule surveys or enter inventory via mobile web).
- QUOTING *Y*: Online move calculator for instant quotes on the website.
- JOB BOOKING *Y*: Customers can book moves through the online portal 24/7.
- MOVE MGMT *Y*: Cloud-based platform to manage all moving business operations from one interface.
- DISPATCH *Y*: Includes a scheduling board to assign moves to crews and trucks
- SHIPMENTS *N*: 
- CREW APP *Y*: Mobile-friendly crew interface (accessible on any device) for viewing job details and capturing signatures (no separate app required).
- STORAGE *N*: 
- QUALITY *N*: 
- AR *Y*: Supports credit card payments and online invoicing through integrated payment solutions.
- AP *N*: 
- ACCOUNTING *Y*: Integrates with external accounting; provides dashboards and basic business reports.
- HR *N*: 
- INSTALL *Web Based*: Web-based SaaS (accessible from any device with internet).
- LANGUAGE:English  - 
- NOTES: Moving companies wanting a modern web presence (online booking, customer self-service) and easy operations management. Operated by the same company as Elromco. Primarily a front-end tool rather than a full move management system.</t>
  </si>
  <si>
    <t>CRM, Inventory, Quoting</t>
  </si>
  <si>
    <t>Moving tools</t>
  </si>
  <si>
    <t>https://www.movingtools.ca/</t>
  </si>
  <si>
    <t>Canadian platform offering moving-related software tools.</t>
  </si>
  <si>
    <t>- LEAD MGMT *N*: 
- SURVEYING *N*: 
- QUOTING *N*: 
- JOB BOOKING *N*: 
- MOVE MGMT *N*: 
- DISPATCH *N*: 
- SHIPMENTS *N*: 
- CREW APP *N*: 
- STORAGE *N*: 
- QUALITY *N*: 
- AR *N*: 
- AP *N*: 
- ACCOUNTING *N*: 
- HR *N*: 
- INSTALL *Web Based*: 
- LANGUAGE: - 
- NOTES: Seems inactive, old web page.</t>
  </si>
  <si>
    <t xml:space="preserve"> Inventory, Quoting, Pricing/Quoting, AI Inventory</t>
  </si>
  <si>
    <t>QuellSoft (QuellMove)</t>
  </si>
  <si>
    <t>https://quell-soft.com/</t>
  </si>
  <si>
    <t>Software for moving companies focused on online presence and lead handling.</t>
  </si>
  <si>
    <t>- LEAD MGMT *Y*: Sales and customer management includes marketing (emails, texts) and lead imports.
- SURVEYING *Y*: Real mobile app for on-site estimates – crews can do digital surveys and upload inventories and photos in the app.
- QUOTING *Y*: Automated from survey through quotation: quick quotes, with custom workflows and automatic document generation.
- JOB BOOKING *N*: Single-point data entry means once a quote is accepted it flows directly into operations with no re-entry of information.
- MOVE MGMT *Y*: All modules integrated for end-to-end move management
- DISPATCH *Y*: Dispatch and operations are integrated; scheduling, crew assignments, and task management happen in one system.
- SHIPMENTS *Y*: Supports both local and long-distance move operations, and can generate manifests or shipping documents as needed.
- CREW APP *Y*: Provides real mobile apps for movers (e.g., electronic BOLs on-site, two-way texting with clients, live updates).
- STORAGE *Y*: Inventory of all items is audit-trailed; storage can be tracked with each item logged and accessible to customers and staff.
- QUALITY *Y*: Audit trail of all items and digital records reduces lost/damaged item disputes; system improves accountability (claim handling via tracked communication).
- AR *Y*: Automated communication and documents; invoices can be generated as soon as moves finish and sent electronically.
- AP *N*: 
- ACCOUNTING *Y*: Extensive analytical reports give unprecedented view of business performance
- HR *N*: 
- INSTALL *Cloud*: Cloud (SaaS) on AWS Lambda architecture – highly scalable, offered via annual licensing.
- LANGUAGE:English  - 
- NOTES: Moving companies wanting a cutting-edge, fully integrated software with mobile capabilities (especially those looking to eliminate paper entirely).</t>
  </si>
  <si>
    <t>Marketing, Leads to customers</t>
  </si>
  <si>
    <t>QuickQube (EWS)</t>
  </si>
  <si>
    <t>https://www.thecoragroup.com/portfolio/quickqube</t>
  </si>
  <si>
    <t>Sales and estimating software for commercial and industrial moving.</t>
  </si>
  <si>
    <t>- LEAD MGMT *N*: 
- SURVEYING *N*: 
- QUOTING *Y*: Automates move estimates and proposals
- JOB BOOKING *Y*: Generates move plan and work orders for office moves
- MOVE MGMT *N*: 
- DISPATCH *Y*: Provides workflow for execution of office moves
- SHIPMENTS *N*: 
- CREW APP *N*: 
- STORAGE *N*: 
- QUALITY *N*: 
- AR *N*: 
- AP *N*: 
- ACCOUNTING *N*: 
- HR *UNVERIFIED*: 
- INSTALL *Web Based*: Web-based
- LANGUAGE:English - 
- NOTES: Office/industrial moving sales and operations</t>
  </si>
  <si>
    <t>Sales process</t>
  </si>
  <si>
    <t>Quote2Cash</t>
  </si>
  <si>
    <t>https://quote2cashapp.com/index.html</t>
  </si>
  <si>
    <t>Software for generating quotes and managing payments.</t>
  </si>
  <si>
    <t>- LEAD MGMT *N*: 
- SURVEYING *N*: 
- QUOTING *Y*: AI-powered pricing engine – handles complex tariff calculations for moving &amp; freight rates
- JOB BOOKING *N*: 
- MOVE MGMT *N*: 
- DISPATCH *N*: 
- SHIPMENTS *Y*: May integrate with TMS/RMC systems to price shipments and services on the fly (for international moves, etc.).
- CREW APP *N*: 
- STORAGE *N*: 
- QUALITY *N*: 
- AR *Y*: Accounts/AR integration – rated orders can flow to invoices
- AP *N*: 
- ACCOUNTING *Y*: Reporting on quote win rates, pricing accuracy, and revenue forecasts.
- HR *N*: 
- INSTALL *Cloud*: Cloud (API-based) – provided via web portal and APIs to plug into other software.
- LANGUAGE:English  - 
- NOTES: Moving &amp; relocation companies and freight forwarders – a specialized tool to streamline tariff management, quoting, and rating for complex shipments.</t>
  </si>
  <si>
    <t>Payments, Quoting</t>
  </si>
  <si>
    <t>Virtual Moving Tech (VMT)</t>
  </si>
  <si>
    <t>https://www.virtualmovingtechnologies.com/</t>
  </si>
  <si>
    <t>Technology solutions for virtual moving and logistics management.</t>
  </si>
  <si>
    <t>- LEAD MGMT *N*: 
- SURVEYING *Y*: Live video surveys – platform for movers to conduct remote video walkthroughs with clients (or VMT’s team can do it for you).
- QUOTING *Y*: Outputs cube sheets and survey result data that can be used for quoting (integrates with move software or van line systems).
- JOB BOOKING *N*: 
- MOVE MGMT *Y*: Simplifies move start: clients can schedule a survey at their convenience (24/7 availability via the app).
- DISPATCH *N*: 
- SHIPMENTS *N*: 
- CREW APP *N*: 
- STORAGE *N*: 
- QUALITY *N*: 
- AR *N*: 
- AP *N*: 
- ACCOUNTING *N*: 
- HR *N*: 
- INSTALL *Cloud*: Cloud-based (web portal &amp; mobile app); optional outsourced survey staff available.
- LANGUAGE:English - 
- NOTES: Moving companies – VMT provides the tech (and optional staff) for virtual move surveys, so you can get accurate inventories and video records without in-person surveys.</t>
  </si>
  <si>
    <t>Logistics, Virtual surveys Inventory</t>
  </si>
  <si>
    <t>Walkboard</t>
  </si>
  <si>
    <t>https://www.walkboard.com/</t>
  </si>
  <si>
    <t>Online platform for booking moving labor and transportation services.</t>
  </si>
  <si>
    <t>- LEAD MGMT *N*: 
- SURVEYING *N*: 
- QUOTING *Y*: Allows instant booking of moving labor services (loading/unloading help) or container shipping through the online platform
- JOB BOOKING *Y*: Clients (or van lines) can schedule and book vetted labor crews or freight moves on-demand via the platform
- MOVE MGMT *N*: 
- DISPATCH *Y*: Central marketplace where moving companies and agents can quickly find extra labor or hauling capacity, and track job progress in real time
- SHIPMENTS *Y*: Real-time route monitoring and updates every 5 minutes for LTL/container shipment arrangements
- CREW APP *N*: 
- STORAGE *N*: 
- QUALITY *Y*: Background-checked moving labor helpers ensure quality service; platform captures customer ratings to maintain standards
- AR *Y*: Handles payment transactions between customers and providers (secure escrow-style payment until job completion)
- AP *N*: 
- ACCOUNTING *Y*: Provides analytics on booked jobs, costs, and performance of labor providers to mobility managers
- HR *N*: 
- INSTALL *Cloud*: Cloud-based web platform
- LANGUAGE:English - 
- NOTES: Moving and relocation companies that need to source moving labor or trucking capacity on-demand – Walkboard connects them with independent crews and carriers, with full visibility and quality controls (ideal for supplemental labor or small moves).</t>
  </si>
  <si>
    <t>Online Booking, Users</t>
  </si>
  <si>
    <t>Wise Move / United Software (MoversOne)</t>
  </si>
  <si>
    <t>www.unitedsoftware.us</t>
  </si>
  <si>
    <t>Custom software development and IT services for moving companies. Inactive.</t>
  </si>
  <si>
    <t>- LEAD MGMT *Y*: All-in-one moving CRM to manage leads and customer communications.
- SURVEYING *Y*: Allows digital surveys of household goods (inventory tools to capture items/volumes).
- QUOTING *Y*: Provides automated quoting (instant quotes based on inventory) and online quote requests.
- JOB BOOKING *Y*: Includes online booking for confirmed quotes (customer can accept and schedule through the system).
- MOVE MGMT *Y*: Coordinates all move from initial survey through delivery.
- DISPATCH *Y*: Dispatching and scheduling built-in – assign crews, trucks, and dates for each move.
- SHIPMENTS *Y*: Offers real-time shipment tracking so customers can monitor their move’s progress.
- CREW APP *Y*: Crew mobile access for inventories and updates (to be integrated, enhancing on-site execution).
- STORAGE *Y*: Can track storage shipments or storage-in-transit (if part of move).
- QUALITY *N*: 
- AR *Y*: Supports billing and invoicing after move completion; captures payments.
- AP *N*: 
- ACCOUNTING *Y*: Provides reporting and analytics on operations (performance metrics, financials).
- HR *N*: 
- INSTALL *Cloud*: Cloud-based (web portal) – accessible anywhere (modern SaaS design).
- LANGUAGE:English  - 
- NOTES: Moving companies (small to mid) – seeking one solution for lead-to-delivery (scheduling, inventory, quoting, tracking in one). The website shows 75 customers from the USA and Canada. The company seems to be inactive, with no LinkedIn profile or updated events since 2011.</t>
  </si>
  <si>
    <t>Mobile, Inactive, Leads to delivery</t>
  </si>
  <si>
    <t>Glimpse</t>
  </si>
  <si>
    <t>https://www.glimpseware.com/</t>
  </si>
  <si>
    <t>Storage management system</t>
  </si>
  <si>
    <t>Inventory-focused platform for moving and logistics companies covering asset capture, warehouse management, and billing.</t>
  </si>
  <si>
    <t xml:space="preserve">- LEAD MGMT *N*: 
- SURVEYING *Y*: Asset capture for detailed item inventories and photos.
- QUOTING *N*: 
- JOB BOOKING *N*: 
- MOVE MGMT *Y*: Inventory tracking supports basic move oversight.
- DISPATCH *Y*: Warehouse tools aid resource allocation
- SHIPMENTS *Y*: Inventory movement tracking.
- CREW APP *Y*: Mobile scanning
- STORAGE *Y*: Warehouse management with bin/slotting
- QUALITY *Y*: Item-level tracking aids damage claims.
- AR *Y*: Dedicated billing and receiving module
- AP *Y*: Receiving supports inbound purchases
- ACCOUNTING *Y*: Inventory reports and analytics
- HR *N*: 
- INSTALL *Web Based*: Inventory platform
- LANGUAGE:English - 
- NOTES: </t>
  </si>
  <si>
    <t>AI, Inventory, Logistics | AI Inventory</t>
  </si>
  <si>
    <t>Kinnovis (Self-Storage Software)</t>
  </si>
  <si>
    <t>https://kinnovis.com/</t>
  </si>
  <si>
    <t>Self-storage facility management software with booking, customer portals, billing, and access control.</t>
  </si>
  <si>
    <t>- LEAD MGMT *Y*: Includes customer management for self-storage clients (tenant info, inquiries).
- SURVEYING *N*: 
- QUOTING *Y*: Handles unit rental quotes and online reservations for storage units.
- JOB BOOKING *Y*: Manages move-ins and move-outs scheduling, gate access assignments for storage facility customers.
- MOVE MGMT *N*: 
- DISPATCH *N*: 
- SHIPMENTS *N*: 
- CREW APP *Y*: Integrates with IoT and mobile controls (e.g., Sensorberg integration) for facility access and automation.
- STORAGE *Y*: AI-powered self-storage facility management – unit inventory, occupancy tracking, automated access, etc..
- QUALITY *N*: 
- AR *Y*: Automates monthly storage billing, online payments, and late fee handling (24/7 rental/payment portal for customers).
- AP *N*: 
- ACCOUNTING *Y*: Provides owners with reports on occupancy, revenue, and facility performance; can integrate with accounting software.
- HR *N*: 
- INSTALL *Cloud*: Cloud-based solution (accessible anywhere); features AI chatbot Jane GPT for customer service and inquiries.
- LANGUAGE:Multilingual - English, German
- NOTES: Self-storage operators (and movers with storage facilities) looking to modernize and automate facility management (unit rentals, access, billing).</t>
  </si>
  <si>
    <t>AI, Analytics, Online Booking, Storage | AI Automation</t>
  </si>
  <si>
    <t>O’Neil Software</t>
  </si>
  <si>
    <t>https://oneilsoftware.com/</t>
  </si>
  <si>
    <t>Records and information management software for commercial records centers.</t>
  </si>
  <si>
    <t>- LEAD MGMT *N*: 
- SURVEYING *N*: 
- QUOTING *N*: 
- JOB BOOKING *N*: 
- MOVE MGMT *Y*: Management of physical records relocations/storage, including chain-of-custody tracking for boxes/files.
- DISPATCH *Y*: Schedule pickups &amp; deliveries of archive boxes, with barcode scanning (field techs use O’Neil Mobile).
- SHIPMENTS *Y*: Tracks movement of stored items from deposit to retrieval/destruction, ensuring visibility and compliance in transit.
- CREW APP *Y*: Mobile scanning app for warehouse staff and drivers to scan barcodes, update inventory, and manage work orders on the go.
- STORAGE *Y*: Warehouse inventory management for stored records (space management, indexing, retrieval requests).
- QUALITY *Y*: Compliance &amp; QA: Emphasizes data accuracy and security (audit trails for chain-of-custody). Damage claims aren’t typical in records storage, but service quality is ensured via error-proof scanning.
- AR *Y*: Generates customer invoices for storage, retrieval, and destruction services; integrates billing into the records management workflow.
- AP *Y*: Can track costs of destruction services or storage supplies, but primarily an AR-focused system (not full AP).
- ACCOUNTING *Y*: Accounting modules for storage fees, activity charges, and supports complex tax/retention billing; includes reporting on inventory and revenue.
- HR *N*: 
- INSTALL *Cloud*: Cloud or On-Prem: Offers both on-premise (RS-SQL) and cloud (O’Neil Stratus) solutions.
- LANGUAGE:English  - 
- NOTES: Records storage moves – commercial records centers handling archive box relocations, storage, and shredding (information management industry). Its product suite includes: O’Neil Stratus: A cloud-based platform for managing records inventory, orders, retention schedules, and invoicing.O’Neil Mobile: A mobile application enabling staff to perform tasks such as pickups, deliveries, and audits using handheld devices.O’Neil Order: A web portal allowing customers to access their stored inventory, request services, and run reports.O’Neil Shred: A module for tracking secure destruction services with integrated billing and location mapping.Barcoding Solutions: Durable barcode labels tested to endure 20 years without damage, ensuring longevity and reliability.Hardware Solutions: Integration with devices like Zebra mobile computers and printers for enhanced operational efficiency.Deployment options include both cloud-based and on-premises solutions. The software is utilized in over 1,000 locations across more than 100 countries.</t>
  </si>
  <si>
    <t>Records storage moves</t>
  </si>
  <si>
    <t>Stora (Self-Storage Software)</t>
  </si>
  <si>
    <t>https://stora.co/eu</t>
  </si>
  <si>
    <t>Self-storage facility management software covering reservations, payments, invoicing, and access control.</t>
  </si>
  <si>
    <t>- LEAD MGMT *Y*: Integrated web lead capture (branded website for inquiries &amp; online bookings).
- SURVEYING *N*: 
- QUOTING *Y*: Automated pricing quotes for storage unit rentals online (dynamic pricing).
- JOB BOOKING *Y*: Online booking of storage units &amp; move-ins (customers self-service).
- MOVE MGMT *Y*: Provides a portal to coordinate move-ins/move-outs with customers (automated processes).
- DISPATCH *N*: 
- SHIPMENTS *Y*: Facility management includes unit availability maps and access control (smart locks).
- CREW APP *N*: 
- STORAGE *Y*: Tracks unit inventory, occupancy, automated access control (locks/unlocks).
- QUALITY *N*: 
- AR *Y*: Recurring billing &amp; payments for storage rentals (automated recurring invoices, integration with Stripe).
- AP *N*: 
- ACCOUNTING *Y*: Business intelligence reports on occupancy, revenue, etc.
- HR *N*: 
- INSTALL *Cloud*: Cloud-based SaaS – login anywhere; no on-prem needed.
- LANGUAGE:English  - 
- NOTES: Self-storage operators – optimizes unit rentals, online sales, and facility automation rather than household moving.</t>
  </si>
  <si>
    <t>Invoicing, Payments, Storage</t>
  </si>
  <si>
    <t>Storman (Self-Storage Software)</t>
  </si>
  <si>
    <t>storman.com</t>
  </si>
  <si>
    <t>Storage management software for moving companies.</t>
  </si>
  <si>
    <t xml:space="preserve">- LEAD MGMT *Y*: Includes a sales CRM for storage leads – track inquiries, follow-ups, conversions.
- SURVEYING *N*: 
- QUOTING *Y*: Quoting for storage unit rates and automated reservations.
- JOB BOOKING *Y*: Online or admin-initiated booking of storage units; initiates move-in workflows.
- MOVE MGMT *Y*: Coordinates move-ins/outs (scheduling, customer communications) for storage customers.
- DISPATCH *N*: 
- SHIPMENTS *Y*: Integrates with access control and alerts for shipments to/from storage (e.g. lockout overdue units).
- CREW APP *N*: 
- STORAGE *Y*: Comprehensive storage management: unit inventory, occupancy, overlock overdue accounts automatically.
- QUALITY *N*: 
- AR *Y*: Integrated payments and accounts receivable (automated billing, card processing).
- AP *N*: 
- ACCOUNTING *Y*: Built-in financial reports, occupancy and revenue analytics (reporting tools).
- HR *N*: 
- INSTALL *Cloud*: Cloud (Storman Cloud) or legacy on-prem versions; primarily web-based now.
- LANGUAGE:English  - 
- NOTES: </t>
  </si>
  <si>
    <t>Storage management</t>
  </si>
  <si>
    <t>QuickMove Technologies</t>
  </si>
  <si>
    <t>www.quickmovetech.com</t>
  </si>
  <si>
    <t>Cloud-based software for moving, freight, and warehouse operations including CRM and ERP.</t>
  </si>
  <si>
    <t>- LEAD MGMT *Y*: Manage inquiries, client profiles, and follow-ups from initial contact through closing.
- SURVEYING *Y*: Includes survey modules for both domestic and international moves (capture inventory, video survey support).
- QUOTING *Y*: Automates move cost calculations (local &amp; international), including volume/weight estimations and instant quote generation.
- JOB BOOKING *Y*: Covers entire move lifecycle: enquiry to packing list to delivery note (jobs flow through stages automatically).
- MOVE MGMT *Y*: All-in-one relocation platform spanning sales, operations, packing, shipping, billing, etc., in one integrated system.
- DISPATCH *Y*: Provides scheduling/dispatch management for crews and vehicles (including route planning, crew forecasting).
- SHIPMENTS *Y*: Handles international freight forwarding tasks (consolidation, documentation, tracking) as well as domestic logistics.
- CREW APP *Y*: Offers mobile applications for on-site inventory, tracking, and updates (real-time status updates to the office).
- STORAGE *Y*: Inventory and warehouse management modules to track goods in storage and warehouses in real time.
- QUALITY *N*: 
- AR *Y*: Covers billing, payments, and receivables in-platform; can reduce DSO with integrated invoicing and online payment links.
- AP *Y*: Integrates procurement of third-party services and handles vendor bills within the ERP.
- ACCOUNTING *Y*: Full accounting integration or built-in ledger; offers comprehensive reporting and analytics for all operations.
- HR *Y*: Has HR/payroll integration (for crew management and payroll processing).
- INSTALL *Cloud*: Cloud-based solution (with possible on-premise for large clients); accessible via web and mobile.
- LANGUAGE:English  - 
- NOTES: Relocation companies and movers worldwide that need an end-to-end ERP solution (covering domestic, international, corporate moves). Clients include Interdean, Interem, and ISS in Asia. Mobile app is also available. Pricing is reported at $56,000/year.</t>
  </si>
  <si>
    <t>Accounting, CRM, Inventory, Logistics, Payments ERP tracking</t>
  </si>
  <si>
    <t>Consensus Software (MoveMagic)</t>
  </si>
  <si>
    <t>www.movemagic.com</t>
  </si>
  <si>
    <t>Moving and storage management software for relocation agencies covering move management, billing, claims, and tariff handling.</t>
  </si>
  <si>
    <t>- LEAD MGMT *Y*: Captures and manages leads from first inquiry through booking.
- SURVEYING *Y*: Integrates with TechMate FirstMate® for in-home surveys and inventory import.
- QUOTING *Y*: Comprehensive quoting, including automatic revenue distribution and rating tools.
- JOB BOOKING *Y*: Books moves and registers shipments (including van line registration directly from the system).
- MOVE MGMT *Y*: Proactive move management tool helping companies handle the entire move lifecycle (notes, reminders, history, etc.).
- DISPATCH *Y*: Supports dispatch planning (trip planning, multi-office dispatch, driver logs) for local and long-haul operations.
- SHIPMENTS *Y*: Dedicated modules for international (import/export, freight forwarding) and van line hauling integrations.
- CREW APP *N*: 
- STORAGE *Y*: Manages permanent storage and warehouse inventory within the system (SIT and storage billing supported).
- QUALITY *Y*: Tracks claims and uses Quality of Service surveys to measure customer satisfaction.
- AR *Y*: Handles billing and revenue distribution (e.g., splits between agents/drivers) and exports to accounting packages.
- AP *Y*: Supports driver settlements and vendor payments (integrates payroll systems like ADP/Paychex for payables).
- ACCOUNTING *Y*: Integrates with accounting software (Great Plains, QuickBooks, etc.) and provides extensive operational/financial reports.
- HR *y*: Integrates with payroll systems (ADP, Paychex) for driver payroll; tracks hours and seniority.
- INSTALL *ON PREMISE*: On-premise Windows client (with 24/7 support); data can sync via van line portals (Atlas, UniGroup).
- LANGUAGE:English  - 
- NOTES: Van line agents and full-service movers (interstate, military, international, commercial) requiring integration with major van lines. Outdated user interface, minimal ongoing development and limited support resources. Customers include AMJ and Olympia. US-based provider operating since 1993, Products: Move Magic, Claim Magic, Tariff Magic, Customization is primarily user-driven with limited flexibility</t>
  </si>
  <si>
    <t>AI, Accounting, Storage | AI Sales Automation</t>
  </si>
  <si>
    <t>Enhanced Operating Systems (MoveMan)</t>
  </si>
  <si>
    <t>www.eosuk.com</t>
  </si>
  <si>
    <t>UK-based modular moving software.</t>
  </si>
  <si>
    <t>- LEAD MGMT *Y*: Provides CRM to manage inquiries and client records
- SURVEYING *Y*: Supports pre-move survey data entry and printing of survey forms (often done via PC, possibly prints for in-home surveys).
- QUOTING *Y*: Generates quotes with built-in pricing templates and integrates with BAR-compliant tariffs.
- JOB BOOKING *Y*: Tracks booked removals and allocates them in the system’s diary for operations.
- MOVE MGMT *Y*: Covers day-to-day activities of removers, integrating all steps from initial quote to final delivery.
- DISPATCH *Y*: Includes diaries/calendars for scheduling crews and vehicles on each move.
- SHIPMENTS *Y*: Used for both domestic and international moves (shares data like manifests with partners as needed).
- CREW APP *Y*: Primarily a desktop system; however, data can be accessed remotely. Integrations (e.g., LumonPay, Blink) support modern workflows.
- STORAGE *Y*: Has modules for storage management (e.g., container/vault tracking and storage billing).
- QUALITY *Y*: Widely used by BAR members, ensuring compliance with quality standards; not a dedicated claims module, but notes can track issues.
- AR *Y*: Links directly into Sage 50Cloud Accounts for invoicing and receivables, ensuring financial data sync.
- AP *Y*: Relies on Sage integration for AP; core system focuses on operations and sales ledger.
- ACCOUNTING *Y*: Uses Sage for full accounting; provides management reports and statistics in-system.
- HR *N*: 
- INSTALL *ON PREMISE*: On-premise Windows application (with Microsoft Silver partnership); data typically hosted on local servers (some move to cloud hosting possible).
- LANGUAGE:English  - 
- NOTES: UK and international removal companies requiring a reliable, industry-standard solution integrated with accounting. Offers web-based product at £115/user/month (£1,400/year). Includes customer API for quote acceptance and account access. No integration with North American accounting software; not used in US or Canada. Supports approximately 240 companies, 1,410 users, and 145 surveyors in the UK.</t>
  </si>
  <si>
    <t>Removal companies</t>
  </si>
  <si>
    <t>EWS - MoversSuite</t>
  </si>
  <si>
    <t xml:space="preserve">www.ewsgroup.com / www.moverssuite.com </t>
  </si>
  <si>
    <t>Cloud-based moving and storage software including CRM, dispatch, billing, claims handling, and mobile apps.</t>
  </si>
  <si>
    <t>- LEAD MGMT *Y*: Manages leads and opportunities from creation to booking (integrated sales/CRM module).
- SURVEYING *Y*: Supports video and in-person surveys (integrated add-ons allow live video surveys in-house).
- QUOTING *Y*: Full estimate creation with van line rating integration and national account pricing support.
- JOB BOOKING *Y*: Covers order entry from booked moves, including recurring billing and special services on the order.
- MOVE MGMT *Y*: Enterprise move management system connecting office and field; tracks all move information in one suite.
- DISPATCH *Y*: Comprehensive dispatch module for scheduling crews, fleet, and capacity planning across branches.
- SHIPMENTS *Y*: Integrates with van line systems (UniGroup, Atlas, etc.) to exchange registration, rating, and settlement data automatically.
- CREW APP *Y*: Includes MoversSuite Crew – a mobile app for crews to receive jobs, update statuses, capture signatures, etc., in real time.
- STORAGE *Y*: Offers storage management (SIT and recurring storage billing) within the platform.
- QUALITY *Y*: Has a claims module and quality tracking (to manage claims filing and monitor service issues).
- AR *Y*: Handles all AR functions, and the Ultimate edition includes a full moving-industry accounting system.
- AP *Y*: Provides AP and general ledger; Premier version interfaces with external accounting for payables.
- ACCOUNTING *Y*: Ultimate integrates accounting (financials), while Premier interfaces to external GL; robust reporting and analytics included.
- HR *N*: 
- INSTALL *ON PREMISE/HOSTED*: On-premise or hosted (Windows-based client). Some components (MSWeb, etc.) are web-based for remote access.
- LANGUAGE:English  - 
- NOTES: Larger moving companies (especially North American van line agents) that need integrated operations with optional built-in accounting. Previously showed prices online (approx. $1700-2400/user/year); pricing no longer publicly available. Integrated with TechMate. Acquired Transplus in 2007. Primarily US-focused. Includes a mobile crew app and commercial module. Product names (MoversSuite Basic/Advanced, Movers CRM, Movers XO, Accounting integration specifics (Dynamics GP)</t>
  </si>
  <si>
    <t>AI, Accounting, CRM, Dispatch, Mobile App, Storage | AI Dispatch/Optimization</t>
  </si>
  <si>
    <t>Mai-Move (MoveAssist)</t>
  </si>
  <si>
    <t>https://moveassist.com/mai-move/</t>
  </si>
  <si>
    <t>Moving and storage management software including CRM, workflows, quoting, dispatch, warehouse, and billing.</t>
  </si>
  <si>
    <t>- LEAD MGMT *Y*: Supports managing corporate and private client moves (integrated with global mobility contacts).
- SURVEYING *Y*: Allows uploading survey results and integrates with digital inventory tools for volume calculation.
- QUOTING *Y*: Handles quoting for all move types (local, international) with route planning and cost estimates (includes automated reporting).
- JOB BOOKING *Y*: Books moves (domestic or international) into the system and initiates workflows for each service.
- MOVE MGMT *Y*: Platform for managing international, domestic, and local moves all within one interface.
- DISPATCH *Y*: Provides scheduling of crews/trucks and displays move calendars, including resource allocation for complex projects.
- SHIPMENTS *Y*: Covers international freight scheduling (routes, consolidation) and tracks move progress with dashboards.
- CREW APP *Y*: Offers digital tools for crews (like digital inventories and docs), though primarily focused on office coordination.
- STORAGE *Y*: Includes module for storage management and warehouse inventory for clients' goods (especially for international moves).
- QUALITY *Y*: Customizable dashboards and reports allow for post-move reviews; claims management can be handled through notes and follow-up tasks.
- AR *Y*: Integrates relocation financials: generates invoices for move services and can track expense approvals from corporate clients.
- AP *Y*: Manages supplier orders (e.g., destination services, shipping lines) and tracks those expenses within relocations.
- ACCOUNTING *Y*: Automated reporting, customizable KPIs, and dashboards; financial data can feed into corporate accounting systems.
- HR *N*: 
- INSTALL *Cloud*: Cloud-based (modern web UI) provided by MoveAssist, accessible anywhere.
- LANGUAGE:English  - 
- NOTES: International movers and relocation management companies looking to manage all move types (local &amp; global) in one system. Has a partner section on the website. The mobile app is designed with a modern interface.</t>
  </si>
  <si>
    <t>AI, CRM, Dispatch, Logistics, Storage | AI Dispatch/Optimization</t>
  </si>
  <si>
    <t>MoveHQ</t>
  </si>
  <si>
    <t>www.movehq.com</t>
  </si>
  <si>
    <t>Cloud-based moving software covering CRM, surveys, quoting, dispatch, warehousing, and accounting integration.</t>
  </si>
  <si>
    <t>- LEAD MGMT *Y*: Suite includes SalesHQ for lead capture, moving CRM, and automated follow-ups.
- SURVEYING *Y*: Integrated video survey and visual estimator tools (no third-party needed).
- QUOTING *Y*: Enterprise-level quoting with custom tariffs, automatic paperwork generation, and customer e-signatures.
- JOB BOOKING *Y*: Transitions from accepted estimate to an active move order; ties into operations and dispatch.
- MOVE MGMT *Y*: Operating system for moving &amp; storage companies – manages every step from origin to destination
- DISPATCH *Y*: OperationsHQ module for dispatch scheduling, capacity planning, and real-time assignment adjustments.
- SHIPMENTS *Y*: Supports van line integration and tracking of shipments, with warehouse and fleet status updates for interstate moves.
- CREW APP *Y*: Driver/Crew apps (CrewPro) for digital inventories, electronic BOLs, GPS tracking of trucks, and live status updates in the field.
- STORAGE *Y*: WarehouseHQ manages storage, vault inventory, and deliveries (fully integrated with move records).
- QUALITY *Y*: Customer engagement tools collect feedback; data feeds into quality reports. Can integrate claims info from van line systems.
- AR *Y*: Allows on-site payment capture, automatic invoice generation, and accounts receivable tracking (with QuickBooks or NetSuite integration).
- AP *Y*: Tracks third-party services and integrates with accounting to manage payables to subcontractors or suppliers.
- ACCOUNTING *Y*: Extensive reports and dashboards; can include a full accounting module or integration (depending on configuration).
- HR *N*: 
- INSTALL *Cloud*: Cloud-based SaaS (provided by Updater) – accessible via web browser; mobile apps for field use.
- LANGUAGE:English  - 
- NOTES: Mid-to-large moving companies (especially van line agents) wanting a modern, cloud-based system tied into consumer-facing technology.</t>
  </si>
  <si>
    <t>CRM, Dispatch, Quoting</t>
  </si>
  <si>
    <t>RedSky Mobility Solutions</t>
  </si>
  <si>
    <t>www.redskymobility.com</t>
  </si>
  <si>
    <t>Cloud-based relocation and move management system.</t>
  </si>
  <si>
    <t>- LEAD MGMT *Y*: Cloud-based CRM capturing leads and client interactions (aimed at improving sales conversions).
- SURVEYING *Y*: Integrated mobile survey and inventory via Voxme partnership (digital pre-move surveys and inventories).
- QUOTING *Y*: Quotation tools for international and domestic moves, including automated rate calculations.
- JOB BOOKING *Y*: Converts leads to booked moves, initiating tasks across departments in the system.
- MOVE MGMT *Y*: All-in-one move management system for the entire workflow; real-time data sharing among agents in a network.
- DISPATCH *Y*: Includes dispatch module for scheduling crews and tracking tasks to completion.
- SHIPMENTS *Y*: Handles international relocations, with features to coordinate origin and destination services and track shipments.
- CREW APP *Y*: Relies on integrated mobile apps (via Voxme) for crews: digital inventory lists, barcode scanning, etc..
- STORAGE *Y*: Can manage storage shipments and warehouse inventories (with digital warehouse management via integration).
- QUALITY *Y*: Provides service feedback loops
- AR *Y*: Invoicing and finance modules included; supports multi-currency billing for international moves.
- AP *Y*: Tracks vendor bills (destination agents, third-party services) and can integrate with accounting for payables.
- ACCOUNTING *Y*: Comprehensive reporting; financial data can be extracted for analysis
- HR *N*: 
- INSTALL *Cloud*: Cloud-based (browser) solution only, provided as SaaS.
- LANGUAGE:English  - 
- NOTES: International moving companies and relocation networks needing a modern, connected move management platform. Features include document sharing, client communication portal, reporting tools, and a Van Line module (for U.S. users). Offers a client-facing iOS mobile app similar to MoveClient. A recently released survey app supports voice/search inventory input, damage notation, packaging details, photos, and electronic signatures. Complies with ISO 17451.</t>
  </si>
  <si>
    <t>ByMovers (Bylogic)</t>
  </si>
  <si>
    <t>www.bymovers.com</t>
  </si>
  <si>
    <t>Cloud-based ERP platform for moving, relocation, and storage companies covering operational, financial, and customer management.</t>
  </si>
  <si>
    <t>- LEAD MGMT *Y*: Cloud-based moving CRM manages leads, opportunities and follow-ups
- SURVEYING *Y*: Supports digital inventories and on-site surveys as part of its operational toolkit (ensures accurate estimating for each move)
- QUOTING *Y*: Provides quoting tools for both residential and commercial moves, with flexible pricing modules and automated document generation
- JOB BOOKING *Y*: Books and schedules moves in a unified system; multi-branch support allows initiating jobs at different branch locations
- MOVE MGMT *Y*: Streamlines daily operations – centralized dashboard for scheduling, task management, and real-time oversight of all moves across branches
- DISPATCH *N*: 
- SHIPMENTS *N*: 
- CREW APP *Y*: Mobile-responsive platform (and apps) for crews to access job details, update inventories, collect e-signatures and photos on site (data syncs real-time)
- STORAGE *Y*: Includes a full storage management module to handle warehouse inventory and storage billing (ideal for moving &amp; storage firms)
- QUALITY *Y*: Tracks service quality via customer feedback and internal KPIs; built-in claims tracking to log any issues and monitor resolution
- AR *UNVERIFIED*: Invoicing and payments fully integrated – handle billing for jobs, storage, etc., with support for multiple currencies and tax rules
- AP *Y*: Manages vendor bills and subcontractor payments; multi-company feature lets head office oversee AP across branches
- ACCOUNTING *Y*: Comprehensive financial and operational reports (sales, expenses, profitability by branch, etc.) with real-time data for decision-making
- HR *Y*: Basic HR functionality – manage crew/user profiles, assign roles/permissions; monitor labor hours and performance within the system
- INSTALL *Cloud*: 100% Cloud (no installs; accessible anywhere in real time)
- LANGUAGE:Multilingual - English, Spanish
- NOTES: Moving and storage companies (including multi-location enterprises) seeking a modern all-in-one system – byMovers handles CRM, operations, storage, billing, and even multi-branch management on a flexible cloud platform.</t>
  </si>
  <si>
    <t>Mobile App, Storage, ERP</t>
  </si>
  <si>
    <t>CompuMove</t>
  </si>
  <si>
    <t>www.compumove.com</t>
  </si>
  <si>
    <t>Integrated moving and storage software for multi-branch operations including sales, dispatch, warehouse, billing, and accounting.</t>
  </si>
  <si>
    <t>- LEAD MGMT *Y*: Advanced sales management tools to capture leads, track follow-ups, and manage sales pipeline.
- SURVEYING *Y*: Supports cube sheet estimating and imports survey data; integrates with external survey apps if needed.
- QUOTING *Y*: Handles complex rating (local, intrastate, interstate tariffs) and prints detailed estimates and tariffs.
- JOB BOOKING *Y*: Covers move from quote to booked job
- MOVE MGMT *Y*: All-in-one move management for local, interstate, military, international, etc.
- DISPATCH *Y*: Integrated dispatch calendar, crew scheduling, and hauling management (monthly calendars, daily dispatch boards).
- SHIPMENTS *Y*: Dedicated modules for military/GSA moves, international manifests, and van line hauling with EDI support.
- CREW APP *Y*: Provides electronic documents and can integrate with mobile inventory apps; historically client-server, but data can be accessed remotely.
- STORAGE *y*: Fully integrated storage management (vault tracking, storage billing)
- QUALITY *Y*: Includes a claims module and ensures compliance with military and industry requirements; tracks claims and service issues.
- AR *Y*: Integrated billing and receivables with seamless general ledger distribution and financial statements.
- AP *Y*: Manages driver pay, agent commissions, vendor bills; full payables and disbursement tracking.
- ACCOUNTING *Y*: Contains a complete accounting system (GL, financials) and extensive management reporting built-in.
- HR *Y*: Payroll features for drivers (hours, commissions) are included; general HR beyond payroll is not central.
- INSTALL *ON PREMISE*: On-premise (since 1984), typically Windows-based; can be hosted on cloud servers; remote access via CompuMove tools (training, support).
- LANGUAGE:English  - 
- NOTES: Moving companies of all sizes (especially in North America) requiring a time-tested, fully integrated operations + accounting solution (including military/agency moves). Initial training and implementation are remote. It appears to only have a desktop app, which seems outdated.</t>
  </si>
  <si>
    <t>AI, Accounting, Dispatch, Sales, Scheduling, Storage | AI Sales Automation, AI Dispatch/Optimization</t>
  </si>
  <si>
    <t>Enterprise Database (EDC) (MoveStar)</t>
  </si>
  <si>
    <t>www.edcus.com</t>
  </si>
  <si>
    <t>UK-based modular moving software for international moving, storage, commercial moves, and mobile job management.</t>
  </si>
  <si>
    <t>- LEAD MGMT *Y*: Manage moving leads from intake through closing – questions answered by AI. It's a custom software development company that builds tailored solutions, not a ready-to-use moving operations platform.
- SURVEYING *Y*: EDC-Mobile app for digital surveys: AI auto-imports weights from scale tickets, reads inventory documents, and creates new leads/moves without manual typing
- QUOTING *Y*: Complete tariff-rated estimating for military/GSA moves (EasyTariff®) and private moves; auto-calculates costs &amp; accessorials accurately
- JOB BOOKING *Y*: Convert leads to booked moves and handle every step (contracts, scheduling, communications)
- MOVE MGMT *Y*: One system for all move coordination: integrate agents, clients, and suppliers via GOgistiX® standard for real-time shipment updates
- DISPATCH *Y*: Dispatch calendar and operations module: schedule crews/trucks, notify agents via AgentLink®, and enable electronic job acceptances worldwide
- SHIPMENTS *Y*: Real-time shipment visibility via GOgistiX (industry EDI) – exchange status with partners; EasyDPS® automates DPS uploads for DoD shipments
- CREW APP *Y*: EDC Mobile crew app provides on-site tools: electronic inventories, digital warehouse scans, crew time clock, customer e-signatures, and even AI voice assistance for data entry
- STORAGE *Y*: Robust warehouse management for storage-in-transit and NTS: track vaults, automate storage billing, and manage military lots (EasyDPS® ties into DoD systems)
- QUALITY *Y*: Integrations for claims – e.g., push military claim info and CSS scores; AI (MERCED™) summarizes customer feedback and low scores for proactive quality improvement
- AR *Y*: Fully handles invoicing for all move types (EasyGOVLINK™ for GSA/DOS billing, EasyDPS® for direct DoD billing) and integrates with accounting; supports custom compensation agreements
- AP *Y*: Supports agent/vendor payables and custom integrations – EDC can build stand-alone integrations or custom modules for unique AP needs
- ACCOUNTING *Y*: Powerful reporting suite, now AI-enhanced: real-time financial, operational, and customer reports; AI helps automate data entry, generate summaries, translate languages on the fly
- HR *Y*: Crew/employee management built-in: track labor hours, assign tasks, ensure compliance (vehicle checks via app), and utilize AI voice-to-email for multilingual communication
- INSTALL *Cloud*: Available as cloud SaaS or self-hosted enterprise solution (flexible deployment); MERCED™ AI features run securely within system
- LANGUAGE:English  - 
- NOTES: Mid-to-large moving companies and van lines (especially those handling military, GSA and international moves) that need a comprehensive, AI-enhanced system – EDC’s MoveStar suite covers every aspect from sales &amp; tariffs to dispatch, warehouse, invoicing, and agent networking in one integrated platform.</t>
  </si>
  <si>
    <t>Mobile App, Storage</t>
  </si>
  <si>
    <t>Granot Web Systems</t>
  </si>
  <si>
    <t>www.granot.com</t>
  </si>
  <si>
    <t>Web-based platform for moving companies with lead management, workflows, self-booking, and payments.</t>
  </si>
  <si>
    <t>- LEAD MGMT *Y*: Manage leads and rotate leads to sales reps efficiently (includes Goodcall AI assistant for lead follow-up)
- SURVEYING *Y*: Accepts moving leads via API from lead providers, distributes to sales, and tracks each survey/estimate (integrates with call scripts and web forms)
- QUOTING *Y*: Generates quick estimates and online quotations; supports binding estimates and electronic quote acceptance by clients
- JOB BOOKING *Y*: plan and manage all aspects of a move from initial sale to operations (book jobs, assign crews, schedule trucks)
- MOVE MGMT *Y*: Plan moves, assign tasks, track progress from sales through operations in one system (real-time updates, multi-user access)
- DISPATCH *Y*: Dispatch module with calendar to schedule crews, trucks, deliveries; supports trip scheduling and multi-stop routing (with GPS integration)
- SHIPMENTS *Y*: Offers live shipment status updates to customers (through customer portal) and integration with carriers for long-distance moves
- CREW APP *Y*: Mobile-friendly interfaces (and Android app) for crews to view jobs, collect digital signatures, update inventory and delivery status on-site
- STORAGE *Y*: Has storage management to handle storage jobs, warehouses, and recurring storage invoicing (for brokers/carriers running storage)
- QUALITY *Y*: Handles claims logging and resolution tracking; Goodcall AI can summarize lengthy customer communications to highlight issues and help resolve claims faster
- AR *Y*: Supports online payments and invoicing; integrates with payment gateways to accept deposits and final payments from customers
- AP *Y*: Supports payroll calculations and expense tracking for crews (e.g., driver payouts) and can interface with QuickBooks for full accounting
- ACCOUNTING *Y*: Provides a web dashboard with KPIs (leads, moves, revenue) and detailed reports; Goodcall AI helps management by answering queries from data (e.g., “show this month’s sales”)
- HR *Y*: Basic HR functions: maintain crew/driver profiles, track payroll hours (via operation module), and manage user access rights
- INSTALL *Web Based*: 100% Web-based system (Granot hosts the software for clients; accessible via browser)
- LANGUAGE:English  - 
- NOTES: Movers, brokers, and carriers (USA &amp; global) needing a reliable cloud moving software – Granot offers lead management, online quoting, dispatch, storage, and an open API for lead providers, all in a web system with over 25 years in industry. The standard package is priced at $325/month. Not available for use outside the United States. An online demo is available.</t>
  </si>
  <si>
    <t>Inventory, Mobile App, Online Booking, Payments, Sales</t>
  </si>
  <si>
    <t>Moveware</t>
  </si>
  <si>
    <t>www.moveconnect.com</t>
  </si>
  <si>
    <t>End-to-end operational software for moving companies.</t>
  </si>
  <si>
    <t>Hosted/ On premise</t>
  </si>
  <si>
    <t xml:space="preserve">- LEAD MGMT *UNVERIFIED*: Built-in CRM for managing all customer relationships and inquiries.
- SURVEYING *Y*: Own tool
- QUOTING *Y*: Complex Costing calculations and quote building.
- JOB BOOKING *Y*: 
- MOVE MGMT *Y*: 
- DISPATCH *Y*: 
- SHIPMENTS *Y*: 
- CREW APP *Y*: 
- STORAGE *Y*: 
- QUALITY *Y*: 
- AR *Y*: 
- AP *Y*: 
- ACCOUNTING *Y*: 
- HR *Y*: 
- INSTALL *Hosted/ On premise*: 
- LANGUAGE: - 
- NOTES: </t>
  </si>
  <si>
    <t>All in</t>
  </si>
  <si>
    <t>SmartMoving</t>
  </si>
  <si>
    <t>https://smartmoving.com</t>
  </si>
  <si>
    <t>Moving software for US and Canadian movers covering estimates, dispatch, inventory, and storage.</t>
  </si>
  <si>
    <t>- LEAD MGMT *Y*: CRM for leads and marketing database to manage prospects.
- SURVEYING *Y*: Supports virtual surveys &amp; inventories of goods (tools for inventory tracking).
- QUOTING *Y*: Offers automated estimating &amp; quoting tools
- JOB BOOKING *Y*: Converts estimates to bookings in the system
- MOVE MGMT *Y*: End-to-end move management: schedule jobs, assign crews, track status.
- DISPATCH *Y*: Dispatch module to schedule and route crews/trucks for each job.
- SHIPMENTS *Y*: Allows tracking of shipments in real-time for customers (status updates).
- CREW APP *Y*: Mobile app for crews to view jobs, update inventories, collect signatures, etc.
- STORAGE *Y*: Manages storage inventory and unit tracking if needed (supports storage module).
- QUALITY *Y*: Improves service via customer portal and real-time updates; track issues.
- AR *Y*: Billing &amp; invoicing features included (convert jobs to invoices).
- AP *Y*: Basic AP management (track vendor payments)
- ACCOUNTING *Y*: Built-in reporting dashboards; can integrate accounts data.
- HR *Y*: Employee management modules (user logins, performance tracking).
- INSTALL *Cloud*: Cloud-based (web browser access; no on-prem install).
- LANGUAGE:English  - 
- NOTES: Moving companies (all types) – an all-in-one operations platform for local, long-distance, and storage-included movers. Offers integration with vanlines and 400N tariff. Website is outdated, and the company seems to be out of business.</t>
  </si>
  <si>
    <t>Dispatch, Inventory, Storage, Moving software</t>
  </si>
  <si>
    <t>Movd</t>
  </si>
  <si>
    <t>https://getmovd.com/</t>
  </si>
  <si>
    <t>Specialized moving and logistics platform for quoting, shipment consolidation, and collaborative move management.</t>
  </si>
  <si>
    <t>Movers Dispatch Board</t>
  </si>
  <si>
    <t xml:space="preserve">https://www.moversdispatchboard.com </t>
  </si>
  <si>
    <t>Nationwide load board and logistics platform for moving companies, brokers, and carriers to post, search, and dispatch household goods loads and coordinate shipments.</t>
  </si>
  <si>
    <t>Manage My moves</t>
  </si>
  <si>
    <t>https://www.managemymoves.com/</t>
  </si>
  <si>
    <t>Cloud-based CRM and ERP software for UK removal and storage companies.</t>
  </si>
  <si>
    <t>?</t>
  </si>
  <si>
    <t xml:space="preserve">- LEAD MGMT *Y*: Data import for leads
- SURVEYING *Y*: Own app
- QUOTING *Y*: 
- JOB BOOKING *UNVERIFIED*: 
- MOVE MGMT *UNVERIFIED*: 
- DISPATCH *?*: Says "Organize Staff"
- SHIPMENTS *UNVERIFIED*: 
- CREW APP *UNVERIFIED*: 
- STORAGE *UNVERIFIED*: 
- QUALITY *UNVERIFIED*: 
- AR *UNVERIFIED*: Integration
- AP *UNVERIFIED*: 
- ACCOUNTING *UNVERIFIED*: 
- HR *UNVERIFIED*: 
- INSTALL *Web Based*: Web
- LANGUAGE:English - 
- NOTES: </t>
  </si>
  <si>
    <t>Accounting, CRM, Dispatch, Scheduling, Storage</t>
  </si>
  <si>
    <t>Driver Sales</t>
  </si>
  <si>
    <t>https://drivesales.com/</t>
  </si>
  <si>
    <t>Sales Automation / CRM</t>
  </si>
  <si>
    <t>Sales automation and CRM solution designed to improve lead conversion, follow-up, and commercial performance in moving companies.</t>
  </si>
  <si>
    <t>Milovan Milosevic milo@drivesales.com</t>
  </si>
  <si>
    <t>Artgalleria</t>
  </si>
  <si>
    <t>https://www.artgalleria.com/for-galleries</t>
  </si>
  <si>
    <t>Help galleries manage inventory, artworks, and exhibitions. It offers features for tracking art collections and organizing gallery operations.</t>
  </si>
  <si>
    <t>Artwork Archive</t>
  </si>
  <si>
    <t>https://www.artworkarchive.com/</t>
  </si>
  <si>
    <t>Software for organizing and tracking art collections.Manage artwork inventory with cataloging, tracking, and reporting tools.</t>
  </si>
  <si>
    <t>Blue Global Relocation</t>
  </si>
  <si>
    <t>https://www.blue-relocation.com/en/home/</t>
  </si>
  <si>
    <t>Global relocation management services.</t>
  </si>
  <si>
    <t>Boomi (Dell Boomi)</t>
  </si>
  <si>
    <t>https://boomi.com/</t>
  </si>
  <si>
    <t>Integration software for business systems. Moving companies use it to connect software systems, automating data transfer (e.g. from move management software to accounting).</t>
  </si>
  <si>
    <t>Docketwise</t>
  </si>
  <si>
    <t>https://www.docketwise.com/</t>
  </si>
  <si>
    <t>Gallagher Transport (Customs)</t>
  </si>
  <si>
    <t>https://gallaghertransport.com/</t>
  </si>
  <si>
    <t>Specialized logistics services provider</t>
  </si>
  <si>
    <t>It is a service business. Customs brokerage and freight forwarding provider offering tailored logistics solutions, documentation support, cargo insurance, and proactive shipment tracking.</t>
  </si>
  <si>
    <t>Gallery Systems (TMS)</t>
  </si>
  <si>
    <t>https://www.gallerysystems.com/solutions/collections-management/</t>
  </si>
  <si>
    <t>Collections management platform designed to document, preserve, and manage artworks, artifacts, and their full lifecycle across storage, loans, and exhibitions.</t>
  </si>
  <si>
    <t>English, French, Spanish, German</t>
  </si>
  <si>
    <t>Hessel</t>
  </si>
  <si>
    <t>https://www.thecoragroup.com/portfolio/hessel</t>
  </si>
  <si>
    <t>Mobility financial management platform focused on expense tracking, payment reconciliation, compliance, and reporting for global relocation programs and HR finance teams.</t>
  </si>
  <si>
    <t>MoveAdvisor</t>
  </si>
  <si>
    <t>https://moveadvisor.com/</t>
  </si>
  <si>
    <t>Moving and relocation service platform for finding moving and relocation services. It helps users compare options.</t>
  </si>
  <si>
    <t>Web</t>
  </si>
  <si>
    <t>ServiceNow</t>
  </si>
  <si>
    <t>https://www.servicenow.com/</t>
  </si>
  <si>
    <t>Service management software for various business functions.</t>
  </si>
  <si>
    <t>Multi-Language</t>
  </si>
  <si>
    <t>Tagdd io</t>
  </si>
  <si>
    <t>https://www.tagdd.io/</t>
  </si>
  <si>
    <t>Inventory System For Moving, Storage and the Home. AI  item condition, model and serial numbers, and captures items off of packing slips</t>
  </si>
  <si>
    <t>app</t>
  </si>
  <si>
    <t>AI ChatBot for Moving Services</t>
  </si>
  <si>
    <t>https://crowdy.ai/ai-chatbot-for-moving-services/</t>
  </si>
  <si>
    <t>Sale automation, AI Chatbot</t>
  </si>
  <si>
    <t>AI-powered chatbot platform tailored for moving companies, featuring automated customer engagement, real-time pricing/service inquiries, lead capture, appointment scheduling, CRM integration, and 24/7 support to convert website visitors into booked moves.</t>
  </si>
  <si>
    <t>Voice Flow</t>
  </si>
  <si>
    <t>https://www.voiceflow.com/ai/movers</t>
  </si>
  <si>
    <t>Sales Automation, AI Agent for Movers</t>
  </si>
  <si>
    <t>No-code platform for custom AI agents (chat/voice) enabling automated mover quotes, bookings, dispatch coordination, and 24/7 service via CRM integrations.</t>
  </si>
  <si>
    <t>Boosted Movers</t>
  </si>
  <si>
    <t>https://boostedmovers.com/</t>
  </si>
  <si>
    <t>Sales automation, AI voice agents</t>
  </si>
  <si>
    <t xml:space="preserve"> Capture leads, handle missed calls, deliver instant quotes, qualify prospects, and sync conversations directly to CRM</t>
  </si>
  <si>
    <t>List in Website
Is for a MOVER/RMC</t>
  </si>
  <si>
    <t>Description Short</t>
  </si>
  <si>
    <t>Description Long</t>
  </si>
  <si>
    <t>Air 7 Seas</t>
  </si>
  <si>
    <t>No</t>
  </si>
  <si>
    <t>https://air7seas.com/</t>
  </si>
  <si>
    <t>International freight forwarding and shipping services for moving household goods or cargo globally (full-service logistics provider, not a software tool).</t>
  </si>
  <si>
    <t>Global shipping and logistics management.</t>
  </si>
  <si>
    <t>Offers air &amp; ocean freight quotes for shipments worldwide</t>
  </si>
  <si>
    <t>Allows customers to book international shipments and logistics services online</t>
  </si>
  <si>
    <t>Handles end-to-end coordination of global shipments by air, sea, road, and rail</t>
  </si>
  <si>
    <t>Global freight forwarding and shipping services (door-to-door, including customs clearance)</t>
  </si>
  <si>
    <t>W</t>
  </si>
  <si>
    <t>Web portal for shipment tracking &amp; quotes</t>
  </si>
  <si>
    <t>English (global)</t>
  </si>
  <si>
    <t>Air 7 Seas offers solutions for managing global shipping and logistics operations, helping businesses optimize their supply chain.</t>
  </si>
  <si>
    <t>Allium TRX (FireCore)</t>
  </si>
  <si>
    <t>www.alliumtrx.com</t>
  </si>
  <si>
    <t>Small-to-mid size moving companies (especially UK) seeking a budget-friendly, reliable move management software.// web not working</t>
  </si>
  <si>
    <t>Self-designed system for Robinsons, not available to others. Web not working</t>
  </si>
  <si>
    <t>Supports basic survey and inventory data entry, often used in conjunction with add-ons like Voxme for mobile surveys.</t>
  </si>
  <si>
    <t>Handles standard removal quoting and pricing</t>
  </si>
  <si>
    <t>Creates and logs jobs for every move; used by operations teams to start move orders.</t>
  </si>
  <si>
    <t>Provides scheduling and move calendar functionality to assign crews and vehicles to jobs.</t>
  </si>
  <si>
    <t>Used for international moves (e.g., Robinsons in UK); enhanced via integration for digital inventory sharing with overseas partners.</t>
  </si>
  <si>
    <t>Paired with Voxme mobile solutions (crew uses Voxme for inventories, while AlliumTRX stores the data).</t>
  </si>
  <si>
    <t>Handles storage jobs data and can print warehouse documents; integration allows barcode tracking with add-ons.</t>
  </si>
  <si>
    <t>Generates invoices for moves; known for handling complex billing scenarios at a low price point.</t>
  </si>
  <si>
    <t>Provides reports; often combined with external accounting tools for full financials.</t>
  </si>
  <si>
    <t>On-premise/desktop application (low-cost subscription) with available integration to cloud services.</t>
  </si>
  <si>
    <t>English.</t>
  </si>
  <si>
    <t>ALLIUM TRX is a system designed by Robinsons to meet FIDI FAIM requirements. It is not available for use by other companies. Limited information is available online.</t>
  </si>
  <si>
    <t>AMT-Sybex Fieldreach</t>
  </si>
  <si>
    <t>https://www.amt-sybex.com/fieldreach/</t>
  </si>
  <si>
    <t>Field service operations – managing and dispatching work for industries like utilities, transportation, telecom (not a relocation product; it’s listed under “Relocation Management” on LinkedIn likely in error, as it mobilizes field workforce). Asset centric solution which provides users with a clear picture of company assets and their condition, allowing asset managers to make more informed decisions when it comes to maintaining the safety and the availability of its infrastructure.</t>
  </si>
  <si>
    <t>Field service management software.</t>
  </si>
  <si>
    <t>Enables companies to schedule, distribute, and manage field operations tasks/work orders digitally, ensuring teams of any size have the info to do their jobs on-site.</t>
  </si>
  <si>
    <t>Includes a drag-and-drop job scheduler and GPS route optimization to allocate tasks and guide field technicians along routes</t>
  </si>
  <si>
    <t>Capture and update asset information in the field (e.g., utility assets, infrastructure inspections). Technicians can scan barcodes/QRs and the data syncs to central systems instantly.</t>
  </si>
  <si>
    <t>Provides a  mobile app for field staff (usable offline) with custom e-forms, barcode scanning, photo capture, and step-by-step prompts. Technicians record job details on their device, and supervisors see updates in real time.</t>
  </si>
  <si>
    <t>Ensures field processes are followed via the app’s scripted workflows, and supervisors can monitor job status live, ensuring quality and safety checks are completed. The system time-stamps work and can prompt for sign-offs, creating an audit trail for each task.</t>
  </si>
  <si>
    <t xml:space="preserve">Captures all completed work details which feed into enterprise systems for billing. E.g., if a field tech completes a service call, Fieldreach data (time, materials) can be used to auto-generate an invoice in the ERP. </t>
  </si>
  <si>
    <t>Captures labor time and materials used on jobs which helps Accounts Payable and asset accounting – e.g., tagging which internal cost center or project bears the cost</t>
  </si>
  <si>
    <t>Provides management with real-time dashboards on field operations (jobs done, pending, duration, exceptions). Data can be analyzed to improve efficiency (e.g., workforce productivity reports, asset condition reports). Integration ensures this data ties into corporate KPIs and regulatory reports if needed.</t>
  </si>
  <si>
    <t>Enterprise (Cloud/On-Prem): Often deployed on-premise or private cloud for large enterprises (e.g., utilities, rail). The mobile app works offline and syncs when connectivity is available. Fully integrable with enterprise asset management systems.</t>
  </si>
  <si>
    <t>AMT-Sybex Fieldreach offers software for managing field service operations, which can be used in relocation management for employee relocation logistics.</t>
  </si>
  <si>
    <t>App Sumo</t>
  </si>
  <si>
    <t>https://appsumo.com/</t>
  </si>
  <si>
    <t>Software deals marketplace – not specific to moving (helps find discounted apps that a moving company might use).</t>
  </si>
  <si>
    <t>Platform for discovering software deals.</t>
  </si>
  <si>
    <t>Web platform (SaaS marketplace)</t>
  </si>
  <si>
    <t>App Sumo is a marketplace for discovering and purchasing software, often offering deals on software products for business use.</t>
  </si>
  <si>
    <t>Avow Solutions</t>
  </si>
  <si>
    <t>https://avowsolutions.com/</t>
  </si>
  <si>
    <t>Technology consulting company (developer of CargoEZ) offering custom digital solutions for logistics – not a ready-made moving operations software.</t>
  </si>
  <si>
    <t>Software for business solutions.</t>
  </si>
  <si>
    <t>Cloud/IT services (custom solutions)</t>
  </si>
  <si>
    <t>Avow Solutions offers software for businesses to manage various processes. Detailed features and functionalities are not provided on the website.</t>
  </si>
  <si>
    <t>Belvo</t>
  </si>
  <si>
    <t>https://belvo.com/es/</t>
  </si>
  <si>
    <t>Open banking API platform (used for aggregating bank data – not specific to moving, except possibly for integrating payments or expense data).</t>
  </si>
  <si>
    <t>API platform for financial data aggregation.</t>
  </si>
  <si>
    <t>Cloud API for financial data</t>
  </si>
  <si>
    <t>Spanish, English</t>
  </si>
  <si>
    <t>Belvo offers an API platform for aggregating financial data from various institutions, enabling businesses to access and process financial information for applications in banking, fintech, and other industries.</t>
  </si>
  <si>
    <t>Capterra</t>
  </si>
  <si>
    <t>https://www.capterra.com/?&amp;</t>
  </si>
  <si>
    <t>Online marketplace for comparing and reviewing moving software solutions (not a moving operations tool itself).</t>
  </si>
  <si>
    <t>Software comparison and review platform.</t>
  </si>
  <si>
    <t>Web-based software directory</t>
  </si>
  <si>
    <t>English (and localized sites)</t>
  </si>
  <si>
    <t>Capterra offers a platform for comparing and reviewing software across various industries, helping businesses make informed software purchase decisions.</t>
  </si>
  <si>
    <t>Conroy Removals (Rate Calc)</t>
  </si>
  <si>
    <t>https://sway.cloud.microsoft/ZHpzpdUT9hax1Uld?ref=Link&amp;loc=play</t>
  </si>
  <si>
    <t>International moving companies working with Conroy (AUS/NZ) for destination services – need quick, accurate destination cost info.</t>
  </si>
  <si>
    <t>Portal for sending and receiving rates with agents.</t>
  </si>
  <si>
    <t>Online Destination Rate Calculator for international partners to get Conroy’s destination service charges (e.g., delivery, unpacking).</t>
  </si>
  <si>
    <t>Enables overseas agents to formally request destination services from Conroy after seeing rates.</t>
  </si>
  <si>
    <t>Streamlines coordination between origin agents and Conroy by simplifying rate discovery and service requests.</t>
  </si>
  <si>
    <t>Assists in planning by furnishing destination costs so shipments can be coordinated accordingly.</t>
  </si>
  <si>
    <t>Web-based (accessed via portal; guide provided via Microsoft Sway).</t>
  </si>
  <si>
    <t>Conroy Removals offers a portal to send and receive moving rates from/to agents. More details unavailable.</t>
  </si>
  <si>
    <t>Denim (Freight Fintech)</t>
  </si>
  <si>
    <t>https://www.denim.com/partnerships</t>
  </si>
  <si>
    <t>Moving &amp; logistics companies seeking to accelerate cash flow and outsource back-office billing/payment processes.</t>
  </si>
  <si>
    <t>Platform for partnerships in moving.</t>
  </si>
  <si>
    <t>Provides a platform for automating invoicing and collections in logistics, helping movers/brokers get paid faster.</t>
  </si>
  <si>
    <t>Offers freight factoring – effectively paying moving companies upfront for their invoices and handling collections, improving cash flow.</t>
  </si>
  <si>
    <t>Integrates with TMS/logistics software to streamline back-office accounting and provide financial reporting dashboards.</t>
  </si>
  <si>
    <t>Cloud-based fintech platform that integrates via API with other software (e.g., Descartes Aljex, Tai TMS).</t>
  </si>
  <si>
    <t>Denim is a platform offering partnerships for moving companies. Specific functionalities are not detailed.</t>
  </si>
  <si>
    <t>Efficient App</t>
  </si>
  <si>
    <t>https://efficient.app/</t>
  </si>
  <si>
    <t>Software Reviews // General task management &amp; productivity tool (not specific to moving, but can be used to track move tasks for small teams).</t>
  </si>
  <si>
    <t>Task management and productivity software.</t>
  </si>
  <si>
    <t>Helps organize move-related tasks and to-dos on a simple dashboard (general project/task management)</t>
  </si>
  <si>
    <t>Cloud-based productivity app</t>
  </si>
  <si>
    <t>Efficient App offers a platform for managing tasks and improving productivity. Further details on functionalities are not specified on the website.</t>
  </si>
  <si>
    <t>IAMX (IAM Mobility Exchange)</t>
  </si>
  <si>
    <t>https://mobilityex.com/index.html#/</t>
  </si>
  <si>
    <t>Corporate mobility teams and IAM member companies managing employee relocations – focuses on directory listings and partner coordination rather than move logistics.</t>
  </si>
  <si>
    <t>Mobility software for global relocations.</t>
  </si>
  <si>
    <t>Online platform to manage global relocations, connecting mobility managers, employees, and vendors in one system</t>
  </si>
  <si>
    <t>Provides reporting and analytics on relocation activity and spend</t>
  </si>
  <si>
    <t>Web-based portal (part of IAM Mobility Exchange)</t>
  </si>
  <si>
    <t>IAMX provides software solutions for managing global relocations, focusing on employee mobility and relocation management. Detailed features are not available on the website.</t>
  </si>
  <si>
    <t>Information is Beautiful (AI LLM visual)</t>
  </si>
  <si>
    <t>https://informationisbeautiful.net/visualizations/the-rise-of-generative-ai-large-language-models-llms-like-chatgpt/</t>
  </si>
  <si>
    <t>Visualization of generative AI/LLM rise (general tech info, not a moving software).</t>
  </si>
  <si>
    <t>Visual representation of AI's growth.</t>
  </si>
  <si>
    <t>Web-based visualization</t>
  </si>
  <si>
    <t>Information is Beautiful provides a visual representation of the rise of generative AI and large language models (LLMs), including tools like ChatGPT.</t>
  </si>
  <si>
    <t>ISSA (Ship Suppliers Assoc.)</t>
  </si>
  <si>
    <t>https://shipsupply.org</t>
  </si>
  <si>
    <t>Global trade association for ship supply companies – provides networking and standards, not a moving software.</t>
  </si>
  <si>
    <t>Global association representing ship suppliers and maritime service providers.</t>
  </si>
  <si>
    <t>Web platform (association site)</t>
  </si>
  <si>
    <t>ISSA is a global association representing nearly 2,000 ship suppliers and maritime service providers worldwide. Established in 1955, it comprises 40 national associations and associate members in 51 other countries. ISSA offers resources such as the ISSA Register, publications, conventions, and a quality standard to support its members in the maritime industry.</t>
  </si>
  <si>
    <t>ITGallery</t>
  </si>
  <si>
    <t>https://www.itgalleryapp.com/en/art-gallery/management-software.html</t>
  </si>
  <si>
    <t xml:space="preserve">Art Galleries </t>
  </si>
  <si>
    <t>Art gallery management software.</t>
  </si>
  <si>
    <t>Mobile app for collectors/galleries (iOS/Android)</t>
  </si>
  <si>
    <t>Cloud art collection database</t>
  </si>
  <si>
    <t>Web-based SaaS</t>
  </si>
  <si>
    <t>TGallery offers software for managing art galleries. The platform includes tools for cataloging artworks, managing exhibitions, tracking inventory, and client management.</t>
  </si>
  <si>
    <t>MioCommerce (Service Sales Platform)</t>
  </si>
  <si>
    <t>https://miocommerce.com/affiliates</t>
  </si>
  <si>
    <t>Service businesses (incl. moving companies) – allows offering instant online quoting and booking, with back-office scheduling and payment features to simplify sales.</t>
  </si>
  <si>
    <t>Commerce platform for moving companies.</t>
  </si>
  <si>
    <t xml:space="preserve">Online lead capture tools (web forms, “Request-a-Quote” questionnaires) </t>
  </si>
  <si>
    <t>Instant online quoting for services</t>
  </si>
  <si>
    <t>Online booking/e-commerce for services – customers can purchase moving services on the website.</t>
  </si>
  <si>
    <t>Provides a customer portal and communication inbox to coordinate service details.</t>
  </si>
  <si>
    <t>Scheduling and job management included (assign jobs to staff; calendar integration).</t>
  </si>
  <si>
    <t>Field app for service crews to receive job details (industry-agnostic).</t>
  </si>
  <si>
    <t>Invoices generated for each booked service; can integrate payment processing.</t>
  </si>
  <si>
    <t>Dashboard analytics for sales, bookings, conversion rates (reporting).</t>
  </si>
  <si>
    <t>Cloud-based (web platform with website integration).</t>
  </si>
  <si>
    <t>Mio Commerce provides a platform for businesses in the moving industry to manage their commerce functions. Further details are not provided on their website.</t>
  </si>
  <si>
    <t>Mitratech</t>
  </si>
  <si>
    <t>https://mitratech.com/</t>
  </si>
  <si>
    <t>Software solutions for legal and compliance management.</t>
  </si>
  <si>
    <t>Immigration and compliance case management for relocating employees (via INSZoom integration)</t>
  </si>
  <si>
    <t>Legal and compliance reporting tools for global mobility programs</t>
  </si>
  <si>
    <t>Focus on immigration, visa, and legal risk management in HR</t>
  </si>
  <si>
    <t>Cloud or on-premise</t>
  </si>
  <si>
    <t>Mitratech provides software for legal, risk, and compliance management. The platform includes tools for managing contracts, compliance processes, and legal workflows.</t>
  </si>
  <si>
    <t>MobilityEx.com (IAM Mobility Exchange)</t>
  </si>
  <si>
    <t>https://mobilityex.com</t>
  </si>
  <si>
    <t>International movers (IAM members) seeking networking, partner finding and global lead generation.</t>
  </si>
  <si>
    <t>Online directory for IAM members and global mobility service providers.</t>
  </si>
  <si>
    <t xml:space="preserve">Generates new B2B leads by listing company profiles </t>
  </si>
  <si>
    <t>Web-based directory platform</t>
  </si>
  <si>
    <t>Mobility Exchange is the online directory platform developed by the International Association of Movers (IAM). It allows IAM members, including moving companies and service providers, to create and maintain profiles, search industry partners, and access affiliation data. The platform is designed to support visibility and connection between IAM members for operational and business development purposes.</t>
  </si>
  <si>
    <t>My Net Move</t>
  </si>
  <si>
    <t>www.mynetmove.com (inactive)</t>
  </si>
  <si>
    <t>Moving Companies</t>
  </si>
  <si>
    <t>Cloud-based system designed for local moving operations.</t>
  </si>
  <si>
    <t>Web (defunct): Was an online platform (now inactive).</t>
  </si>
  <si>
    <t>My Net Move was a cloud-based software platform developed and used by Local Motion, a Minneapolis-based moving company. It was geared toward small or local moving companies. Public information is limited, with only a basic website and a short demo video previously available. The platform appears to be inactive, with no functioning website or current contact information. The system supported standard local moving functions but did not appear to scale beyond small operations or provide broader integrations.</t>
  </si>
  <si>
    <t>NeoMetrik (Welti)</t>
  </si>
  <si>
    <t>https://www.neometrik.com/</t>
  </si>
  <si>
    <t>In-house use by Welti-Furrer (Swiss moving company) for managing its moves.</t>
  </si>
  <si>
    <t>German ERP for furniture logistics.</t>
  </si>
  <si>
    <t>Internal move management platform (Welti) focusing on core move tracking and client data.</t>
  </si>
  <si>
    <t>Provides basic quoting tools for moves (used internally by Welti-Furrer).</t>
  </si>
  <si>
    <t>Handles job orders and initiates moves within the company.</t>
  </si>
  <si>
    <t>Used to coordinate moves and manage tasks within Welti's operations.</t>
  </si>
  <si>
    <t>Supports scheduling crews and vehicles for booked jobs.</t>
  </si>
  <si>
    <t>Manages logistics for shipments (especially within Swiss operations).</t>
  </si>
  <si>
    <t>Tracks billing for services and customer invoices.</t>
  </si>
  <si>
    <t>Generates operational reports; may integrate with standard accounting software.</t>
  </si>
  <si>
    <t>Proprietary system (in-house) used by a specific company.</t>
  </si>
  <si>
    <t>German/English (operated in Switzerland).</t>
  </si>
  <si>
    <t>ERP system specialized in furniture logistics. German-language site; pricing in Euros. Offers modular design with three monthly subscription tiers (€59, €69, €79) plus an additional €69/month for the server module. Core functions include administration, relocation management, and scheduling, with capabilities varying by chosen package.</t>
  </si>
  <si>
    <t>NexShore</t>
  </si>
  <si>
    <t>www.nexshore.com</t>
  </si>
  <si>
    <t>Logistics &amp; compliance (air cargo security and data exchange; also built tools for movers to analyze shipment details and accept digital orders).</t>
  </si>
  <si>
    <t>Cloud-based platform for managing domestic, international, and military moves.</t>
  </si>
  <si>
    <t>Digital Dispatch: Created tools for movers to digitally accept and manage shipment offers (in partnership with Moving Pros Network).</t>
  </si>
  <si>
    <t>Cargo Visibility: Offers compliance platforms (IATA ONE Record) giving end-to-end visibility of air cargo shipments</t>
  </si>
  <si>
    <t>Web/On-Prem: Offers enterprise software (downloadable and cloud components) for logistics.</t>
  </si>
  <si>
    <t>NexShore provides cloud-based software for transportation and moving companies, with modules supporting domestic, international, and military moves. It includes features such as DPS connectivity, EDI, van line statement reconciliation, and 400N tariff handling. The company also offers tools for document imaging, tariff building, and real-time consignment tracking via a mobile app. The platform integrates with air logistics systems, supports IATA compliance, and uses QR and Air Waybill scanning. Pricing plans include Essential ($250/month), Professional ($550), and Enterprise ($750).</t>
  </si>
  <si>
    <t>Nexxiot</t>
  </si>
  <si>
    <t>https://nexxiot.com/</t>
  </si>
  <si>
    <t>Global supply chain &amp; logistics operators (including moving containers) needing real-time asset intelligence – Nexxiot provides hardware + cloud to track shipping containers and trailers worldwide for maximum visibility and efficiency.</t>
  </si>
  <si>
    <t>Provides IoT-based tracking devices for real-time visibility of shipping containers.</t>
  </si>
  <si>
    <t>IoT tracking for cargo: real-time monitoring of container and railcar location, condition, and utilization via sensors and cloud</t>
  </si>
  <si>
    <t>Delivers real-time asset data (location, mileage, shock, temperature) for analysis; helps automate supply chain decisions</t>
  </si>
  <si>
    <t>Cloud-based IoT platform (with 5-min interval updates)</t>
  </si>
  <si>
    <t>English (IoT data globally)</t>
  </si>
  <si>
    <t>Nexxiot offers IoT devices designed for real-time monitoring of shipping containers in rail and maritime transport. Their hardware includes features such as GPS tracking, environmental sensors (e.g., temperature, humidity), and shock detection. Devices are designed for long battery life and can operate in various climate conditions. The system allows for data transmission to a cloud-based platform, enabling users to monitor container status and location, and to receive alerts for potential issues. Integration with existing systems is supported through APIs.</t>
  </si>
  <si>
    <t>PackersWala (India)</t>
  </si>
  <si>
    <t>https://packerswala.com/</t>
  </si>
  <si>
    <t>Full-service moving (India) – Packerswala is a tech-enabled moving service provider offering end-to-end relocation with online tracking, 24/7 support, and even storage solutions, targeting everything from local home moves to corporate relocations.</t>
  </si>
  <si>
    <t>Packing services for moving.</t>
  </si>
  <si>
    <t>Lead generation &amp; CRM – receives customer inquiries online and via call, assigns a dedicated move manager to each client.</t>
  </si>
  <si>
    <t>In-home surveys provided (Packerswala arranges a survey or uses info given online).</t>
  </si>
  <si>
    <t>Customers can book their move through Packerswala; company coordinates all services.</t>
  </si>
  <si>
    <t>Each move gets a dedicated move manager guiding the process.</t>
  </si>
  <si>
    <t>Resource management – manages a fleet of trucks and crew across India, dispatching them as needed for jobs.</t>
  </si>
  <si>
    <t>Parcel tracking – offers an instant tracker so clients can live-track their shipment status online.</t>
  </si>
  <si>
    <t xml:space="preserve">Has a customer app for tracking shipments and a platform for crews </t>
  </si>
  <si>
    <t>Operates multiple warehouses for short or long term storage, with modern security and inventory care.</t>
  </si>
  <si>
    <t>Offers insurance and monitors moves to resolve issues.</t>
  </si>
  <si>
    <t>Supports various payment options including “Pay later” for corporate clients; handles invoicing.</t>
  </si>
  <si>
    <t>Internal metrics on moves completed, customer satisfaction; offers business clients reporting on their relocations.</t>
  </si>
  <si>
    <t>Cloud-based systems (for tracking, customer portal) combined with physical operations.</t>
  </si>
  <si>
    <t>English and regional Indian languages (customer support).</t>
  </si>
  <si>
    <t>Packers Wala offers packing services for moving companies. Specific features and services are not detailed.</t>
  </si>
  <si>
    <t>Paragon (Embedded Integrations)</t>
  </si>
  <si>
    <t>https://www.useparagon.com/</t>
  </si>
  <si>
    <t>Software developers / IT teams in moving &amp; logistics – Paragon is an integration platform to quickly build native integrations between your moving software and other apps (CRM, ERP, etc.).</t>
  </si>
  <si>
    <t>Logistics and route planning software.</t>
  </si>
  <si>
    <t>Cloud (Embedded iPaaS) – Paragon is provided as a cloud service that software developers embed in their SaaS products.</t>
  </si>
  <si>
    <t>Paragon offers logistics and route planning software, primarily used by businesses to optimize deliveries and moving operations. Additional specific features are not detailed.</t>
  </si>
  <si>
    <t>Personio</t>
  </si>
  <si>
    <t>https://www.personio.es/</t>
  </si>
  <si>
    <t>General HR software for SMBs – helps any company (including movers) manage employee records, payroll, and recruiting. (Not specific to moving operations.)</t>
  </si>
  <si>
    <t>HR software for employee management.</t>
  </si>
  <si>
    <t>All-in-one HRIS reporting (workforce analytics, payroll reports, org charts)</t>
  </si>
  <si>
    <t>Comprehensive HR management (employee data, payroll, recruiting, time off) in one platform</t>
  </si>
  <si>
    <t>Cloud (SaaS) HR platform</t>
  </si>
  <si>
    <t>English, German, Spanish (multi-language UI)</t>
  </si>
  <si>
    <t>Personio provides HR management software for businesses. It offers tools for employee records, payroll, recruiting, and performance management.</t>
  </si>
  <si>
    <t>Scan2Move (inactive)</t>
  </si>
  <si>
    <t>www.scan2move.com</t>
  </si>
  <si>
    <t>Household goods moving (international &amp; domestic) where detailed inventory tracking is needed (used by movers to eliminate paper inventories).</t>
  </si>
  <si>
    <t>Inventory and packing list system.</t>
  </si>
  <si>
    <t xml:space="preserve">Digital inventory scanning solution for movers – uses barcode/QR to catalog all items for a move, ensuring standardized, electronic inventories </t>
  </si>
  <si>
    <t>Helps track items through the shipment lifecycle (each item labeled and traceable).</t>
  </si>
  <si>
    <t>Crew can scan items during packing/loading via mobile scanners, creating a digital inventory list.</t>
  </si>
  <si>
    <t>Provides data exports for integration; digital records support reporting (e.g. inventory summaries, claim stats).</t>
  </si>
  <si>
    <t>Cloud (SaaS) platform (accessible via web/mobile; no on-prem needed).</t>
  </si>
  <si>
    <t>English (interface).</t>
  </si>
  <si>
    <t>San to Move offers a system for creating packing lists and inventories, with cloud-based portal and app support. Allows translation to different languages. The website is no longer functional, with no recent activity on social media. The company appears to be out of business.</t>
  </si>
  <si>
    <t>Shyft (inactive)</t>
  </si>
  <si>
    <t>Inactive</t>
  </si>
  <si>
    <t>Consumers and relocating employees – platform to compare/book movers and manage move logistics (the company is now defunct).</t>
  </si>
  <si>
    <t>Moving software, currently inactive.</t>
  </si>
  <si>
    <t>Moving marketplace (when active) that generated leads by connecting consumers to a network of movers (including via lump-sum relocation programs).</t>
  </si>
  <si>
    <t>Offered a virtual survey app (“ShyftNext”) for customers to inventory their goods via video.</t>
  </si>
  <si>
    <t>Instant quoting – customers received multiple moving quotes through the app.</t>
  </si>
  <si>
    <t>Bookings could be completed in-app with a chosen moving company.</t>
  </si>
  <si>
    <t>Provided a concierge-style move coordination (especially for corporate transferees using lump sum).</t>
  </si>
  <si>
    <t>Shyft offers moving software but is currently inactive. Further details are unavailable.</t>
  </si>
  <si>
    <t>Streak AI (Streak CRM for Gmail)</t>
  </si>
  <si>
    <t>https://www.streak.com/ai</t>
  </si>
  <si>
    <t>Small businesses (including movers) managing sales via Gmail – Streak AI acts as a CRM co-pilot to automate lead management and email follow-ups.</t>
  </si>
  <si>
    <t>AI-powered CRM for managing leads and workflows.</t>
  </si>
  <si>
    <t>Gmail-integrated CRM to track leads and customer communications inside email. AI automate data entry (auto-fill contact details, import leads) and offer insights to keep pipelines updated.</t>
  </si>
  <si>
    <t>Generates basic sales reports (pipeline status) and can sync with Google Sheets for reporting.</t>
  </si>
  <si>
    <t>Cloud (within Gmail) – Chrome extension &amp; cloud backend.</t>
  </si>
  <si>
    <t>Streak AI is a CRM system integrated with email that uses AI to manage leads, workflows, and customer interactions. It focuses on automating tasks and providing insights for sales and customer service.</t>
  </si>
  <si>
    <t>SumUp</t>
  </si>
  <si>
    <t>https://www.sumup.com/en-us/</t>
  </si>
  <si>
    <t>Small and mid-sized moving companies that need to take credit/debit card payments on-site or remotely without a complex POS – SumUp provides simple card readers and an app for easy billing.</t>
  </si>
  <si>
    <t>Payment processing platform.</t>
  </si>
  <si>
    <t xml:space="preserve">Accepts card payments via portable card readers and online payment links/invoices </t>
  </si>
  <si>
    <t>Sales dashboard and transaction history for easy reconciliation and accounting</t>
  </si>
  <si>
    <t>Cloud-based service (physical card readers + app)</t>
  </si>
  <si>
    <t>Multi-language (operates in 30+ countries)</t>
  </si>
  <si>
    <t>SumUp provides a payment processing platform for businesses to accept card payments in person and online. It is designed to support small and medium-sized businesses.</t>
  </si>
  <si>
    <t>Sweden Relocators AB</t>
  </si>
  <si>
    <t>https://swedenrelocators.se/</t>
  </si>
  <si>
    <t>Relocation services to/from Sweden</t>
  </si>
  <si>
    <t>Relocation services for Sweden.</t>
  </si>
  <si>
    <t>Full-service Sweden relocation (visa, housing, etc.)</t>
  </si>
  <si>
    <t>Web-based</t>
  </si>
  <si>
    <t>Sweden Relocator AB offers relocation management services for businesses and individuals moving to or within Sweden. Further details on services are not specified.</t>
  </si>
  <si>
    <t>Vow Solutions</t>
  </si>
  <si>
    <t>http://vowsol.com/</t>
  </si>
  <si>
    <t>Generic business process management and ERP solutions provider (not specific to moving; minimal direct application to moving processes).</t>
  </si>
  <si>
    <t>Software for business process management.</t>
  </si>
  <si>
    <t>Cloud business process platform</t>
  </si>
  <si>
    <t>Vow Solutions provides software for managing various business processes, though specific details are not provided on the website.</t>
  </si>
  <si>
    <t>WayLit</t>
  </si>
  <si>
    <t>https://www.waylit.com/</t>
  </si>
  <si>
    <t>Corporate immigration management</t>
  </si>
  <si>
    <t>Relocation management services for companies.</t>
  </si>
  <si>
    <t>Immigration case management platform (HR/legal)</t>
  </si>
  <si>
    <t>WayLit offers relocation management services to businesses, assisting with various aspects of employee relocation. Detailed features and functionalities are not available on the website.</t>
  </si>
  <si>
    <t>Workia</t>
  </si>
  <si>
    <t>workia.com</t>
  </si>
  <si>
    <t>(Part of Equus) Corporate HR Mobility programs – managing employee relocations (lump sum, managed moves, international assignments) with cost tracking and self-service for employees.</t>
  </si>
  <si>
    <t>Moving software.</t>
  </si>
  <si>
    <t>Designed for HR: manage employee relocations with centralized data (all employee move records in one place).</t>
  </si>
  <si>
    <t>Cost estimation tools for relocations (calculates relocation package costs).</t>
  </si>
  <si>
    <t>Initiates new relocations and service authorizations easily (HR can kick off move cases).</t>
  </si>
  <si>
    <t>Global mobility coordination – track each relocation’s progress, tasks, and services for employees and HR.</t>
  </si>
  <si>
    <t>Manages aspects of shipments via connected vendors (through Equus integrations for shipping, etc.).</t>
  </si>
  <si>
    <t>Mobile employee app keeps relocating staff engaged (checklists, updates); HR app for mobility managers.</t>
  </si>
  <si>
    <t>Handles exception management and issue ticketing (for any relocation problems) rather than claims.</t>
  </si>
  <si>
    <t>Tracks relocation expenses and vendor bills; can generate billing reports for reimbursements.</t>
  </si>
  <si>
    <t>Reporting on relocation spend, status, and compliance; can integrate with BI.</t>
  </si>
  <si>
    <t>HR integration (Workday, etc.) to sync employee data; tracks benefits, approvals, etc. for relocations.</t>
  </si>
  <si>
    <t>Cloud (SaaS) platform.</t>
  </si>
  <si>
    <t>English (global).</t>
  </si>
  <si>
    <t>Workia provides software for moving companies. No further information is available on their website.</t>
  </si>
  <si>
    <t>YBA PPC (UK)</t>
  </si>
  <si>
    <t>https://www.ybappc.co.uk/</t>
  </si>
  <si>
    <t>Moving companies seeking leads – YBA PPC handles online advertising to boost sales inquiries in the removals and self-storage sector.</t>
  </si>
  <si>
    <t>Moving software for UK market.</t>
  </si>
  <si>
    <t>Provided as a service (agency), not a software installation.</t>
  </si>
  <si>
    <t>YBA PPC offers software solutions for moving companies in the UK. Further details on the system are unavailable.</t>
  </si>
  <si>
    <t>Zapier</t>
  </si>
  <si>
    <t>https://zapier.com/developer-platform/partner-program</t>
  </si>
  <si>
    <t>Generic</t>
  </si>
  <si>
    <t>Integration tool for automating workflows.</t>
  </si>
  <si>
    <t>Automates lead flow by connecting moving CRMs, web forms, and marketing apps (no-code integration)</t>
  </si>
  <si>
    <t>Connects invoicing/payment apps with accounting software for billing updates</t>
  </si>
  <si>
    <t>Cloud integration platform (online service)</t>
  </si>
  <si>
    <t>English interface</t>
  </si>
  <si>
    <t>Zapier connects various apps and automates workflows without coding. It helps businesses integrate different platforms and streamline repetitive tasks.</t>
  </si>
  <si>
    <t>Yes</t>
  </si>
  <si>
    <t>Personal</t>
  </si>
  <si>
    <t> App for personal home inventory tracking, featuring hierarchical property/room/item organization, photo capture, categorization with keyword suggestions, sunburst visualizations, advanced search, and manual backup/export for insurance, moving preparation, or decluttering</t>
  </si>
  <si>
    <t>Mobile app to catalog household items room-by-room with photos and categories</t>
  </si>
  <si>
    <t>Assists in estimating move volume by listing all items in a home (helps generate accurate move quotes)</t>
  </si>
  <si>
    <t>Android app with advanced search and visual charts for inventory  (for crew or homeowner to view all items)</t>
  </si>
  <si>
    <t>M</t>
  </si>
  <si>
    <t>Mobile (Android) app</t>
  </si>
  <si>
    <t>Homeowners or movers needing a free tool to create a home inventory for moving or insurance purposes – best for organizing items and documenting contents pre-move.</t>
  </si>
  <si>
    <t>Mooova</t>
  </si>
  <si>
    <t>https://mooova.io/</t>
  </si>
  <si>
    <t>Consumer-facing on-demand moving and logistics app that connects users with local “MoveBuddies” for furniture delivery, bulky waste removal, same-day moves, and door-to-door transport, offering real-time photo updates and flexible pay-later options.</t>
  </si>
  <si>
    <t>Users post move/delivery tasks via the app and choose a “MoveBuddy” helper to book the job.</t>
  </si>
  <si>
    <t>App-based platform that handles local move/delivery tasks end-to-end, from posting to completion.</t>
  </si>
  <si>
    <t>Crowdsourced Dispatch: Matches user requests with nearby “MoveBuddy” helpers in real time through the app (dynamic resource allocation).</t>
  </si>
  <si>
    <t>Helpers use the Mooova app to receive jobs, navigate, and upload pickup/delivery photos for real-time tracking.</t>
  </si>
  <si>
    <t>Customer Feedback: Offers 100% money-back guarantee and relies on in-app ratings; photo documentation of items ensures service quality.</t>
  </si>
  <si>
    <t>In-App Payment: Customers pay through the app, and payment is held and released upon confirmed completion (escrow-style).</t>
  </si>
  <si>
    <t>Mobile App (Cloud): Fully app-based platform (iOS/Android).</t>
  </si>
  <si>
    <t>Multi-language (app interface in English, German, Swedish, Spanish, Arabic, Greek, Portuguese)</t>
  </si>
  <si>
    <t>Local on-demand moves &amp; deliveries (small furniture moves, IKEA pickups, junk removal, etc., via gig-economy helpers).  Specific features are not detailed on the website.</t>
  </si>
  <si>
    <t>Move Assured</t>
  </si>
  <si>
    <t>https://www.moveassured.com/</t>
  </si>
  <si>
    <t>UK-based consumer lead generation and referral platform that connects individuals with accredited local removal companies through postcode-based matching, customer reviews, ratings, and Which? Trusted Traders endorsement. The platform functions as a marketplace for consumers to find movers rather than an operational CRM or ERP system for moving companies.</t>
  </si>
  <si>
    <t>Helps manage enquiries from first contact through to booking completion</t>
  </si>
  <si>
    <t>Guides the move from initial enquiry to confirmed booking and completion</t>
  </si>
  <si>
    <t>Web portal (member-only)</t>
  </si>
  <si>
    <t>English (UK)</t>
  </si>
  <si>
    <t>Move Assured provides a software platform for moving-related services. Specific features not outlined on the website.</t>
  </si>
  <si>
    <t>Independent UK removals companies – trade association platform focusing on lead generation and upholding quality standards.</t>
  </si>
  <si>
    <t>Move It Helper</t>
  </si>
  <si>
    <t>https://play.google.com/store/apps/details?id=com.moveit.helper</t>
  </si>
  <si>
    <t>Helper app for moving tasks.</t>
  </si>
  <si>
    <t>Customers schedule moving or delivery help through the Move It app, choosing date/time and service needed.</t>
  </si>
  <si>
    <t>Coordinates each service request from booking to completion, linking customers with available movers.</t>
  </si>
  <si>
    <t>Freelance Crew Dispatch: Jobs are broadcast to Move It “Pros” and “Muscles” (independent movers) who accept them via the Move It Helper app.</t>
  </si>
  <si>
    <t>Lets movers claim jobs, get details, navigate, and track their earnings/schedule.</t>
  </si>
  <si>
    <t>Service Ratings: Customers can rate their helpers; platform ensures reliable movers (e.g. via background checks) – quality is monitored through reviews.</t>
  </si>
  <si>
    <t>Earnings Tracking: The app logs each job’s payment. Customers are charged in-app, and providers see their earnings (the platform handles collecting payment).</t>
  </si>
  <si>
    <t>Cloud/Mobile App: Web portal for signup plus dedicated mobile apps for customers and helpers.</t>
  </si>
  <si>
    <t>English (service operating in U.S. regions).</t>
  </si>
  <si>
    <t>Move It Helper is an app designed to assist with various moving tasks. It offers services related to the moving process but lacks further detailed features.</t>
  </si>
  <si>
    <t>On-demand moving &amp; delivery labor (find local movers with trucks or muscle for small moves, furniture delivery, etc.).</t>
  </si>
  <si>
    <t>Helper app for moving tasks.Driver/helper app for individual gig workers</t>
  </si>
  <si>
    <t>Mover (on-demand app)</t>
  </si>
  <si>
    <t>https://play.google.com/store/apps/details?id=com.mover.user&amp;hl=en_CA</t>
  </si>
  <si>
    <t>Moving-related app for tracking and organizing tasks related to moving. It focuses on helping users manage the moving process</t>
  </si>
  <si>
    <t>Instantly provides price estimates for on-demand deliveries or small moves (computed by distance/vehicle)</t>
  </si>
  <si>
    <t>Customers can book a driver + vehicle in-app for immediate or scheduled pickup</t>
  </si>
  <si>
    <t>Dedicated driver app gives providers job details, GPS navigation and allows digital proof of delivery</t>
  </si>
  <si>
    <t>In-app payment processing with automatic credit card charges and e-receipts on job completion</t>
  </si>
  <si>
    <t>Mobile app (iOS/Android) with cloud backend</t>
  </si>
  <si>
    <t>English (and local market languages e.g. Danish)</t>
  </si>
  <si>
    <t>On-demand “man with a van” moving services – ideal for small local moves or deliveries where users want to book and track a van/driver in real time via app.</t>
  </si>
  <si>
    <t>Moving Helper (U-Haul)</t>
  </si>
  <si>
    <t>https://play.google.com/store/apps/details?id=com.uhi.movinghelpnow</t>
  </si>
  <si>
    <t>Moving Helper (U-Haul) is an app designed for users of U-Haul services, assisting with various moving tasks such as loading and unloading. Further details are not provided on the website.</t>
  </si>
  <si>
    <t>Instant Quotes: Displays upfront hourly rates and services for each Moving Help® provider so customers can compare prices before booking.</t>
  </si>
  <si>
    <t>Customers reserve local moving labor (loading, unloading, packing, U-Box pickup) through the Moving Help online portal or app.</t>
  </si>
  <si>
    <t>Centralizes all move details (scheduled jobs, crew info, etc.) in one place for customer and provider to manage.</t>
  </si>
  <si>
    <t>Provider Self-Dispatch: Movers manage their availability (block out dates) and accept new MovingHelp Now! jobs in real time via the app.</t>
  </si>
  <si>
    <t>Local Move Handling, providers get details to coordinate pickup/delivery of U-Haul containers.</t>
  </si>
  <si>
    <t>See job details, contact customers, mark completion, and receive payment codes.</t>
  </si>
  <si>
    <t>Customers release payment only after job completion and can leave reviews, ensuring quality. The platform’s star-rating system vets helpers.</t>
  </si>
  <si>
    <t>Escrow Billing: U-Haul holds the customer’s payment and only releases it to the provider when the customer confirms the job is done satisfactorily.</t>
  </si>
  <si>
    <t>Web &amp; Mobile: Cloud-based marketplace (website) plus provider mobile app (Android/iOS).</t>
  </si>
  <si>
    <t>Labor-only moving services (find local insured movers to load/unload, pack, or transport U-Box containers – ideal for DIY movers).</t>
  </si>
  <si>
    <t>Moving Home Checklist (reallymoving)</t>
  </si>
  <si>
    <t>https://play.google.com/store/apps/details?id=com.reallymoving.uk.mhc&amp;hl=en</t>
  </si>
  <si>
    <t>Moving Home Checklist is an app designed to help users manage their home moving process with a checklist of tasks and reminders.</t>
  </si>
  <si>
    <t>Step-by-step moving checklist – covers all tasks from home search, legal paperwork, to moving day arrangements.</t>
  </si>
  <si>
    <t>Mobile app.</t>
  </si>
  <si>
    <t>Home buyers &amp; renters (UK) – a free app that guides users through every step of moving home, ensuring nothing is missed (by reallymoving.com).</t>
  </si>
  <si>
    <t>Moving Organizer Pro (SmartRF)</t>
  </si>
  <si>
    <t>https://www.smartrfsolutions.com/</t>
  </si>
  <si>
    <t>Moving organization software for tasks and inventory.</t>
  </si>
  <si>
    <t>Box inventory management – allows users to label each moving box and record its contents with photos and descriptions.</t>
  </si>
  <si>
    <t>Mobile (iOS, Android); also offline capable.</t>
  </si>
  <si>
    <t>Moving Organizer Pro is a software tool for organizing tasks and inventories during a move. Specific features and functionalities are not detailed.</t>
  </si>
  <si>
    <t>Transferee</t>
  </si>
  <si>
    <t>Moving24</t>
  </si>
  <si>
    <t>https://ca.moving24.com/</t>
  </si>
  <si>
    <t>Canadian moving service platform. The platform helps users book and track their moves, with no further details provided on the website.</t>
  </si>
  <si>
    <t>Users request and receive several moving quotes (up to 6) from trusted companies.</t>
  </si>
  <si>
    <t>Web platform.</t>
  </si>
  <si>
    <t>Multiple (operates in various countries).</t>
  </si>
  <si>
    <t>Moving24 offers moving services in Canada. The platform helps users book and track their moves, with no further details provided on the website.</t>
  </si>
  <si>
    <t>Consumers globally – Moving24 is a worldwide movers’ platform to get free moving quotes and compare movers, saving time and money.</t>
  </si>
  <si>
    <t>TravelBox (Moving Organizer)</t>
  </si>
  <si>
    <t>https://travelbox.space/</t>
  </si>
  <si>
    <t>Platform for managing moving and travel services. Capture and organize your belongings with our moving photo app</t>
  </si>
  <si>
    <t>Personal move organizer – the app provides a moving checklist and packing plan to keep the user on track.</t>
  </si>
  <si>
    <t>Visual box inventory – user can catalog each box with photos and know its contents and location via the app.</t>
  </si>
  <si>
    <t>Mobile app (Android, iOS).</t>
  </si>
  <si>
    <t>English (with some localization).</t>
  </si>
  <si>
    <t>DIY movers – TravelBox app helps individuals organize their move by photographing contents of boxes, tracking what’s packed where, and planning tasks, giving peace of mind during a move.</t>
  </si>
  <si>
    <t>IPC</t>
  </si>
  <si>
    <t>All</t>
  </si>
  <si>
    <t>Art</t>
  </si>
  <si>
    <t>Software for tracking employee relocations.</t>
  </si>
  <si>
    <t>Includes a web portal for corporate clients and relocating employees to view and update their cases, effectively functioning as a mini-CRM for relocation case contacts.</t>
  </si>
  <si>
    <t>Allows creation of new relocation files, assigning services and providers, and tracking every step until completion, replacing spreadsheets/Word documents in managing moves.</t>
  </si>
  <si>
    <t>Web-based system to manage any number of relocation cases. It tracks all tasks, deadlines, and documents, and allows collaboration between relocation managers, clients, suppliers, and the transferee on one platform.</t>
  </si>
  <si>
    <t>Global DSP Coordination:assign remote Destination Service Providers as home or host consultants in the system, and give immigration service providers access to view/update relevant parts of the case</t>
  </si>
  <si>
    <t>Tracks each relocation service (shipments, home search, schooling, etc.) by logging milestones and statuses. For example, it can show when household goods have loaded, shipped, and delivered, as input by the provider or relocation manager, ensuring shipments are on track.</t>
  </si>
  <si>
    <t>ReloTracker has a mobile app for relocating employees. Through it, transferees can see real-time information about their move, upload required documents, view key dates (like lease start or pack/load dates), and receive alerts (e.g., visa expiration reminders).</t>
  </si>
  <si>
    <t>Ensures nothing is forgotten by tracking tasks and alerting users to expirations (e.g., document expirations). It also lets you request an evaluation from transferees for quality measurement. Time management and productivity features help measure internal service quality too.</t>
  </si>
  <si>
    <t>Can generate and send invoices for relocation services. It collects billable work (logged time, fixed fees, third-party costs) and produces invoices to corporate clients, making sure invoicing is prompt and nothing billable is missed.</t>
  </si>
  <si>
    <t>Through its finance section, it can record vendor bills (like an immigration lawyer’s fee or temp housing invoice) under each case and mark them as payable, which helps relocation companies keep track of what they owe suppliers and when, all within the system.</t>
  </si>
  <si>
    <t>Reporting on all aspects (case status reports for clients, financial reports on revenues/costs, operational reports on service cycle times). Enables generating custom reports to analyze performance or fulfill client SLAs. Also, built-in time management and reporting ensures managers have full insight.</t>
  </si>
  <si>
    <t>Corporate HR/mobility teams get access to see their employees’ relocation progress</t>
  </si>
  <si>
    <t>Cloud (Web-based): Yes – completely web-based SaaS. Clients and providers log in via browser; transferees via browser or mobile app. All data is centrally stored (addressing data privacy by restricting who can see what).</t>
  </si>
  <si>
    <t>English (and adaptable to other languages if needed)</t>
  </si>
  <si>
    <t>ReloTracker offers software designed to track and manage employee relocation processes, providing tools for tracking expenses, logistics, and assignment details.</t>
  </si>
  <si>
    <t>Relocation management system – used by relocation companies and DSPs worldwide to manage corporate relocations efficiently, with portals for clients and relocating employees (end-to-end service delivery and tracking).</t>
  </si>
  <si>
    <t>Name</t>
  </si>
  <si>
    <t>Link</t>
  </si>
  <si>
    <t>What It Does</t>
  </si>
  <si>
    <t>Status Notes</t>
  </si>
  <si>
    <t>WOW ETE</t>
  </si>
  <si>
    <t>Compare</t>
  </si>
  <si>
    <t>Minerva</t>
  </si>
  <si>
    <t>https://www.tryminerva.ai/</t>
  </si>
  <si>
    <t>Accounting software</t>
  </si>
  <si>
    <t>New</t>
  </si>
  <si>
    <t>Accounting</t>
  </si>
  <si>
    <t>GPT-Minus1</t>
  </si>
  <si>
    <t>https://www.gptminus1.com/</t>
  </si>
  <si>
    <t>fool GPT by randomly replacing words with synonyms in your text.</t>
  </si>
  <si>
    <t>AI Detector</t>
  </si>
  <si>
    <t>GPTZero</t>
  </si>
  <si>
    <t>https://gptzero.me/</t>
  </si>
  <si>
    <t xml:space="preserve">GPTZero is a classification model that predicts whether a document was
written by a large language model </t>
  </si>
  <si>
    <t>Section</t>
  </si>
  <si>
    <t>https://www.sectionschool.com/</t>
  </si>
  <si>
    <t>Courses, certifications, learning AI and how to use it in business. Learn how to use AI</t>
  </si>
  <si>
    <t>AI Education</t>
  </si>
  <si>
    <t>Knack</t>
  </si>
  <si>
    <t>https://www.knack.com/</t>
  </si>
  <si>
    <t>Database creation without code</t>
  </si>
  <si>
    <t>App creation</t>
  </si>
  <si>
    <t>Octomind</t>
  </si>
  <si>
    <t>Use AI agents to analyze your web app and automatically discover tests that cover your critical flows</t>
  </si>
  <si>
    <t xml:space="preserve">App development </t>
  </si>
  <si>
    <t>MindStudio</t>
  </si>
  <si>
    <t>https://www.mindstudio.ai/</t>
  </si>
  <si>
    <t>Design, build, and deploy AI Agents. isual builder—no coding required, but extensible with code</t>
  </si>
  <si>
    <t>App Development - Agent Builder</t>
  </si>
  <si>
    <t>Artisan</t>
  </si>
  <si>
    <t>https://www.artisan.co/</t>
  </si>
  <si>
    <t>Sales outbound automation</t>
  </si>
  <si>
    <t>App Development - Sales Outbound Agent Builder</t>
  </si>
  <si>
    <t>Ekinox</t>
  </si>
  <si>
    <t>https://www.ekinox.io/</t>
  </si>
  <si>
    <t>Create your own highly advanced outbound sales digital workers</t>
  </si>
  <si>
    <t>Kairos</t>
  </si>
  <si>
    <t>https://www.kairosautomations.com/</t>
  </si>
  <si>
    <t>AI automations that eliminate repetitive tasks, streamline complex workflows</t>
  </si>
  <si>
    <t xml:space="preserve"> Explore workflow automation capabilities</t>
  </si>
  <si>
    <t>Tray</t>
  </si>
  <si>
    <t>https://tray.ai/</t>
  </si>
  <si>
    <t>Complex automation workflows</t>
  </si>
  <si>
    <t>Aident</t>
  </si>
  <si>
    <t>https://aident.ai/</t>
  </si>
  <si>
    <t>Describe your workflow in natural language, and turn it into a working automation</t>
  </si>
  <si>
    <t>Flowise</t>
  </si>
  <si>
    <t>https://flowiseai.com/</t>
  </si>
  <si>
    <t>Open source agentic systems development platform</t>
  </si>
  <si>
    <t>Hubflo</t>
  </si>
  <si>
    <t>https://www.hubflo.com/</t>
  </si>
  <si>
    <t>Streamline operations with a powerful client portal. Can create Client portal, for like OSS?</t>
  </si>
  <si>
    <t>App Development - Customer Portal</t>
  </si>
  <si>
    <t>Sequel</t>
  </si>
  <si>
    <t>https://sequel.sh/</t>
  </si>
  <si>
    <t>Sequel is an AI Data Analyst for your product. Get instant insights, reports and charts by simply asking questions. SQL query on natural language. Some DBS not all - Mysql SQL server coming soon</t>
  </si>
  <si>
    <t>App Development - Dashboards/ Data Analytics</t>
  </si>
  <si>
    <t>Taskade</t>
  </si>
  <si>
    <t>https://www.taskade.com/</t>
  </si>
  <si>
    <t>Create dashboards, client portals, and automation workflows. Build live apps with agents, memory, and workflow automation</t>
  </si>
  <si>
    <t>Supadash</t>
  </si>
  <si>
    <t>Connect your database and instantly get AI-generated charts to visualize your data and track metrics about your application.</t>
  </si>
  <si>
    <t>Upsolve</t>
  </si>
  <si>
    <t>https://upsolve.ai/</t>
  </si>
  <si>
    <t>AI Agent to write reports and dashboard analytics on an app with no code. Can use for Movd analytics, could do MRA with it? Upsolve AI enables you to build customer-facing analytics via generative AI or point and click interface. You can then embed it as native frontend components in your product</t>
  </si>
  <si>
    <t>Want to Test</t>
  </si>
  <si>
    <t>MRA reporting? Or Movd dashboard</t>
  </si>
  <si>
    <t>Basedash AI</t>
  </si>
  <si>
    <t>https://www.basedash.com/</t>
  </si>
  <si>
    <t>AI platform to visualize, edit, and explore data with dashboard functionality for technical teams.</t>
  </si>
  <si>
    <t>Galileo AI</t>
  </si>
  <si>
    <t>https://www.usegalileo.ai/</t>
  </si>
  <si>
    <t>design ideation</t>
  </si>
  <si>
    <t>App Development - Design (UXUI)</t>
  </si>
  <si>
    <t>Uizard</t>
  </si>
  <si>
    <t>https://uizard.io/</t>
  </si>
  <si>
    <t xml:space="preserve">Uizard generates prototypes, mockups, and designs wireframes with the use
of AI. </t>
  </si>
  <si>
    <t>Use - Adhoc</t>
  </si>
  <si>
    <t>Jotlin</t>
  </si>
  <si>
    <t>https://jotlin.ai/</t>
  </si>
  <si>
    <t>Turn Messy Ideas into Structured Specs</t>
  </si>
  <si>
    <t xml:space="preserve">App Development - Product Management </t>
  </si>
  <si>
    <t>Cline</t>
  </si>
  <si>
    <t>AI-powered lightweight A/B and split testing software.</t>
  </si>
  <si>
    <t>App Development - QA</t>
  </si>
  <si>
    <t>Capture</t>
  </si>
  <si>
    <t>https://capture.dev/</t>
  </si>
  <si>
    <t xml:space="preserve">A plugin for a web app to allow users to screenshot or video a bug / issue and report it </t>
  </si>
  <si>
    <t>Coval</t>
  </si>
  <si>
    <t>https://www.coval.dev/</t>
  </si>
  <si>
    <t>AI to test AI Chatbots. It generates chats or voice inputs into chatbots to test its output</t>
  </si>
  <si>
    <t>Magic Inspector</t>
  </si>
  <si>
    <t>https://www.magicinspector.com/</t>
  </si>
  <si>
    <t xml:space="preserve">Magic Inspector - Automate Browser Testing with Natural Language auto testing of systems in natural language </t>
  </si>
  <si>
    <t>SmartSheet</t>
  </si>
  <si>
    <t>https://www.smartsheet.com/</t>
  </si>
  <si>
    <t>Workflow automation</t>
  </si>
  <si>
    <t>App Development - Table based System</t>
  </si>
  <si>
    <t>Base44</t>
  </si>
  <si>
    <t>https://base44.com/</t>
  </si>
  <si>
    <t>build fully-functional apps in minutes with just your words. No coding necessary.</t>
  </si>
  <si>
    <t>App Development - Vibe coding</t>
  </si>
  <si>
    <t>Airtable</t>
  </si>
  <si>
    <t>https://airtable.com/</t>
  </si>
  <si>
    <t>Build a no code app - Hybrid spreadsheet-database for flexible workflows</t>
  </si>
  <si>
    <t>Build App</t>
  </si>
  <si>
    <t>AskBlake</t>
  </si>
  <si>
    <t>https://www.askblake.dev/</t>
  </si>
  <si>
    <t>Build apps in seconds with one prompt without code.</t>
  </si>
  <si>
    <t>Bardeen</t>
  </si>
  <si>
    <t>https://www.bardeen.ai/</t>
  </si>
  <si>
    <t>Build apps no code, automation, web scrappers, need to test. Develop automated apps</t>
  </si>
  <si>
    <t>Bubble</t>
  </si>
  <si>
    <t>https://bubble.io/</t>
  </si>
  <si>
    <t>Np code App development!</t>
  </si>
  <si>
    <t>CodeFlying</t>
  </si>
  <si>
    <t>https://www.codeflying.app/</t>
  </si>
  <si>
    <t>generate full-stack applications with an interactive frontend, a robust backend, and an admin panel to manage everything.</t>
  </si>
  <si>
    <t>Create</t>
  </si>
  <si>
    <t>Create apps automatically in under 2 mins with AI.</t>
  </si>
  <si>
    <t>Fenando AI</t>
  </si>
  <si>
    <t>https://fenado.ai/</t>
  </si>
  <si>
    <t>No code APP developer</t>
  </si>
  <si>
    <t>Have user - need to pay to start</t>
  </si>
  <si>
    <t>Frontly</t>
  </si>
  <si>
    <t>https://frontly.ai/</t>
  </si>
  <si>
    <t>Generate AI-powered apps with modern responsive layouts,
advanced actions, and automation platform integration.</t>
  </si>
  <si>
    <t>H20</t>
  </si>
  <si>
    <t>H2O.ai | Convergence of The World's Best Predictive &amp; Generative AI Us</t>
  </si>
  <si>
    <t>Build production-ready,  calable and efficient AI-powered applications.</t>
  </si>
  <si>
    <t>Lovable</t>
  </si>
  <si>
    <t>https://lovable.dev/</t>
  </si>
  <si>
    <t>No code website and app builder</t>
  </si>
  <si>
    <t>MeDo</t>
  </si>
  <si>
    <t>https://medo.dev/</t>
  </si>
  <si>
    <t>Build full-stack apps quickly and affordably with AI.</t>
  </si>
  <si>
    <t>Rocket</t>
  </si>
  <si>
    <t>https://www.rocket.new/</t>
  </si>
  <si>
    <t>App development, no coding</t>
  </si>
  <si>
    <t>Softr</t>
  </si>
  <si>
    <t>https://www.softr.io/</t>
  </si>
  <si>
    <t>Build custom business apps without any code.</t>
  </si>
  <si>
    <t>Wabi</t>
  </si>
  <si>
    <t>https://wabi.ai/</t>
  </si>
  <si>
    <t>social platform where you can create and share mini apps with just a prompt.</t>
  </si>
  <si>
    <t xml:space="preserve">Waitlist </t>
  </si>
  <si>
    <t>Woz</t>
  </si>
  <si>
    <t>https://build.withwoz.com/</t>
  </si>
  <si>
    <t xml:space="preserve">Build a no code app with ease - in beta, sent application to build a simple survey app. Can/should send more? </t>
  </si>
  <si>
    <t>Script It</t>
  </si>
  <si>
    <t>The no-code platform that lets you easily build complex AI workflows for your business.</t>
  </si>
  <si>
    <t>Kadabra</t>
  </si>
  <si>
    <t>https://www.getkadabra.com/</t>
  </si>
  <si>
    <t>Describe your idea and Kadabra builds the automation, tests, and deploys it in under 3 min.</t>
  </si>
  <si>
    <t>Clacky</t>
  </si>
  <si>
    <t>https://clacky.ai/</t>
  </si>
  <si>
    <t>Coding tool</t>
  </si>
  <si>
    <t>more affordable and sustainable coding tool to lovable</t>
  </si>
  <si>
    <t>App Development - Vibe Coding</t>
  </si>
  <si>
    <t>Blink</t>
  </si>
  <si>
    <t>https://blink.new/</t>
  </si>
  <si>
    <t>App development no code</t>
  </si>
  <si>
    <t>Replit</t>
  </si>
  <si>
    <t>https://replit.com/</t>
  </si>
  <si>
    <t>Orchids</t>
  </si>
  <si>
    <t>https://www.orchids.app/</t>
  </si>
  <si>
    <t>Build a landing page, personal site, web app,</t>
  </si>
  <si>
    <t>Portkey AI</t>
  </si>
  <si>
    <t>Develop, launch, maintain and iterate over your company’s generative AI apps and features faster.</t>
  </si>
  <si>
    <t>LlamaCoder</t>
  </si>
  <si>
    <t>https://llamacoder.together.ai/</t>
  </si>
  <si>
    <t>AI tool to help you build apps quickly with minimal coding knowledge required.</t>
  </si>
  <si>
    <t>App Development - Vibe coding (Technical)</t>
  </si>
  <si>
    <t>Brewed</t>
  </si>
  <si>
    <t>Bring your web ideas to life and create websites and web components using AI.</t>
  </si>
  <si>
    <t>App Development - Website</t>
  </si>
  <si>
    <t>Dora AI</t>
  </si>
  <si>
    <t>Create a fully editable website from just one line of text with AI.</t>
  </si>
  <si>
    <t>Dorik AI</t>
  </si>
  <si>
    <t>Craft a complete website with just a simple prompt and edit it without writing a single line of code.</t>
  </si>
  <si>
    <t>Hocoos</t>
  </si>
  <si>
    <t>Create business-ready websites filled with AI-generated content, captivating design elements, and eye-catching images.</t>
  </si>
  <si>
    <t>Algomo</t>
  </si>
  <si>
    <t>https://www.algomo.com/</t>
  </si>
  <si>
    <t>builds websites dynamically - Mover application and mine</t>
  </si>
  <si>
    <t>Qualified</t>
  </si>
  <si>
    <t>App Development - Website Creator</t>
  </si>
  <si>
    <t>CodeDesign</t>
  </si>
  <si>
    <t>https://codedesign.ai/</t>
  </si>
  <si>
    <t>AI Website Creator. Launch, host, and validate your website.</t>
  </si>
  <si>
    <t>Convertri</t>
  </si>
  <si>
    <t>https://www.convertri.com/</t>
  </si>
  <si>
    <t>fast page builder and sales funnel platform</t>
  </si>
  <si>
    <t>Duda</t>
  </si>
  <si>
    <t>https://www.duda.co/</t>
  </si>
  <si>
    <t>Web design</t>
  </si>
  <si>
    <t>Durable</t>
  </si>
  <si>
    <t>https://durable.co/</t>
  </si>
  <si>
    <t>Build a website in 30 seconds using artificial intelligence</t>
  </si>
  <si>
    <t>Elementor AI</t>
  </si>
  <si>
    <t>https://elementor.com/</t>
  </si>
  <si>
    <t xml:space="preserve">Host, build &amp; grow your website </t>
  </si>
  <si>
    <t>Phonesites</t>
  </si>
  <si>
    <t>https://phonesites.com/</t>
  </si>
  <si>
    <t xml:space="preserve">Build websites, landing pages, surveys, pop-ups, and
digital business cards </t>
  </si>
  <si>
    <t>Pineapple</t>
  </si>
  <si>
    <t>https://www.pineapplebuilder.com/</t>
  </si>
  <si>
    <t>Generate your website</t>
  </si>
  <si>
    <t>Smartli</t>
  </si>
  <si>
    <t>https://www.smartli.ai/</t>
  </si>
  <si>
    <t>Advanced text generator,
AI essay writer, copy AI enhancer, AI rewriter.</t>
  </si>
  <si>
    <t>Stunning</t>
  </si>
  <si>
    <t>https://stunning.so/</t>
  </si>
  <si>
    <t>Create a fully customized website 
tailored to your business needs.</t>
  </si>
  <si>
    <t>Systeme.IO</t>
  </si>
  <si>
    <t>https://systeme.io/home</t>
  </si>
  <si>
    <t>Grow your online business.</t>
  </si>
  <si>
    <t>The Leap</t>
  </si>
  <si>
    <t>https://www.theleap.co/</t>
  </si>
  <si>
    <t>The Leap is a user-friendly platform for selling digital products.</t>
  </si>
  <si>
    <t>ClickFunnels</t>
  </si>
  <si>
    <t>https://www.clickfunnels.com/</t>
  </si>
  <si>
    <t>Getting People To Your Website And Turning Them Into
Happy Paying Customers Is What We Do Best</t>
  </si>
  <si>
    <t>App Development - Website Creator / SEO</t>
  </si>
  <si>
    <t>Hellobar</t>
  </si>
  <si>
    <t>https://www.hellobar.com/</t>
  </si>
  <si>
    <t>Convert Visitors into Leads, Subscribers, &amp; Buyers</t>
  </si>
  <si>
    <t>Permar</t>
  </si>
  <si>
    <t>Generate a conversion-rate-optimized landing page with a single prompt.</t>
  </si>
  <si>
    <t>Samcart</t>
  </si>
  <si>
    <t>https://www.samcart.com/</t>
  </si>
  <si>
    <t>Boost your conversion rate, average order value, &amp; lifetime value
with the Internet's highest converting checkout.</t>
  </si>
  <si>
    <t>App Development - Website Creator / SEO / Online Sell</t>
  </si>
  <si>
    <t>Shaped</t>
  </si>
  <si>
    <t>https://www.shaped.ai/</t>
  </si>
  <si>
    <t>Increase engagement, conversion, and revenue with configurable 
recommendations and real-time adaptive search for your website or app.</t>
  </si>
  <si>
    <t>Shopify</t>
  </si>
  <si>
    <t>https://www.shopify.com/</t>
  </si>
  <si>
    <t>provides tools for businesses to create, manage, and grow online and in-person stores.</t>
  </si>
  <si>
    <t>SiteGround</t>
  </si>
  <si>
    <t>https://world.siteground.com/</t>
  </si>
  <si>
    <t>Buy domain for fair prices</t>
  </si>
  <si>
    <t>Rawuser</t>
  </si>
  <si>
    <t>Improve your website's user experience and conversion rates effortlessly with AI-driven insights.</t>
  </si>
  <si>
    <t>App Development - Website QA</t>
  </si>
  <si>
    <t>Slite</t>
  </si>
  <si>
    <t>https://slite.com/</t>
  </si>
  <si>
    <t>AI knowledge base platform for documenting OKRs, roadmaps, and project details efficiently. Craft any document into the most reader-friendly text using AI.</t>
  </si>
  <si>
    <t xml:space="preserve">Assistant </t>
  </si>
  <si>
    <t>DeepAI</t>
  </si>
  <si>
    <t>https://deepai.org/</t>
  </si>
  <si>
    <t>AI API for developers</t>
  </si>
  <si>
    <t>Assistant - API Generator</t>
  </si>
  <si>
    <t>Potis AI</t>
  </si>
  <si>
    <t>An AI copilot that helps you prepare for your interviews.</t>
  </si>
  <si>
    <t xml:space="preserve">Assistant - business </t>
  </si>
  <si>
    <t>Findly AI</t>
  </si>
  <si>
    <t xml:space="preserve">A faster way to extract insights from your data. </t>
  </si>
  <si>
    <t>Assistant - Business Srategy</t>
  </si>
  <si>
    <t>Maky</t>
  </si>
  <si>
    <t>https://macky.ai/</t>
  </si>
  <si>
    <t>An AI-powered business consultant that streamlines complex queries into valuable, actionable insights. I could use to offer quicker consutilng services</t>
  </si>
  <si>
    <t>Quickchat</t>
  </si>
  <si>
    <t>https://www.quickchat.ai/</t>
  </si>
  <si>
    <t>AI chatbots que automatizan gráficos de servicio al cliente</t>
  </si>
  <si>
    <t xml:space="preserve">Assistant - Chatbot </t>
  </si>
  <si>
    <t>Chatbase</t>
  </si>
  <si>
    <t>https://www.chatbase.co/pricing</t>
  </si>
  <si>
    <t>Build a custom GPT, embed it on your website and let it handle customer support, lead generation, engage with your users, and more.</t>
  </si>
  <si>
    <t>Test one of the chats. Try for free. Can use for sales in my website</t>
  </si>
  <si>
    <t>Assistant - Custom Agent</t>
  </si>
  <si>
    <t>ChatNode</t>
  </si>
  <si>
    <t>https://app.chatnode.ai/</t>
  </si>
  <si>
    <t>Create advanced AI chatbots with a deep understanding of your business.</t>
  </si>
  <si>
    <t>Build a Moveware knowledge base</t>
  </si>
  <si>
    <t>ChatPerk</t>
  </si>
  <si>
    <t>https://chatperk.ai/</t>
  </si>
  <si>
    <t>tailored AI assistant to Integrate it into your website to manage customer inquiries, lead generation</t>
  </si>
  <si>
    <t>ChatShape</t>
  </si>
  <si>
    <t>https://www.chatshape.com/</t>
  </si>
  <si>
    <t>Custom trained AI on your website - customer support, lead generation, and more.</t>
  </si>
  <si>
    <t>ChatSimple</t>
  </si>
  <si>
    <t>https://www.chatsimple.ai/</t>
  </si>
  <si>
    <t>Can do any chatbot (support, CX, etc)</t>
  </si>
  <si>
    <t>Glean*</t>
  </si>
  <si>
    <t>https://www.glean.com/</t>
  </si>
  <si>
    <t>Work assistant that connects and understands all your enterprise knowledge</t>
  </si>
  <si>
    <t>Kodey</t>
  </si>
  <si>
    <t>https://kodey.ai/</t>
  </si>
  <si>
    <t xml:space="preserve">AI agent developmentwith visual, no-code </t>
  </si>
  <si>
    <t>Lindy</t>
  </si>
  <si>
    <t>https://www.lindy.ai/</t>
  </si>
  <si>
    <t>create, manage, and share agents</t>
  </si>
  <si>
    <t>Lorikeet</t>
  </si>
  <si>
    <t>https://www.lorikeetcx.ai/</t>
  </si>
  <si>
    <t>Fully automated customer support agent. Expensive but impressive (reported) capability. Starts at 500 per month</t>
  </si>
  <si>
    <t>Lyzr</t>
  </si>
  <si>
    <t>https://www.lyzr.ai/</t>
  </si>
  <si>
    <t>Agent builder. Has some pre built ones, and can build own customizable. Fully automated Marketing, Sales, and other. Expensive (though less than an employee), but very powerful. Also subscription for crowd sourced ones?</t>
  </si>
  <si>
    <t>Test - automate sales efforts</t>
  </si>
  <si>
    <t>MindOS</t>
  </si>
  <si>
    <t>https://www.mindos.com/</t>
  </si>
  <si>
    <t>Boosts productivity, providing valuable suggestions and optimizing your routines.</t>
  </si>
  <si>
    <t>Needle</t>
  </si>
  <si>
    <t>https://needle-ai.com/</t>
  </si>
  <si>
    <t>Self data searches - ideal for companies with large data sets for internal organization search</t>
  </si>
  <si>
    <t>Sana</t>
  </si>
  <si>
    <t>https://sana.ai/</t>
  </si>
  <si>
    <t>AI Assistant builder. One platform for creating expert AI assistants grounded in a company’s knowledge. With excel too. multilanguage, multistep with automations</t>
  </si>
  <si>
    <t>Scade</t>
  </si>
  <si>
    <t>https://www.scade.pro/</t>
  </si>
  <si>
    <t>Effortlessly integrate AI models for audio, image, text, and video</t>
  </si>
  <si>
    <t>Bedrock</t>
  </si>
  <si>
    <t>https://aws.amazon.com/bedrock/</t>
  </si>
  <si>
    <t xml:space="preserve">Creating agents, customizing models with their own data, and generating text and images. </t>
  </si>
  <si>
    <t>Invstr</t>
  </si>
  <si>
    <t>Analyze financial reports, chat with AI-driven insights, and stay informed about what matters.</t>
  </si>
  <si>
    <t>Assistant - financial</t>
  </si>
  <si>
    <t>MGX</t>
  </si>
  <si>
    <t>https://mgx.dev/</t>
  </si>
  <si>
    <t>Multi-agent AI team analysis</t>
  </si>
  <si>
    <t>Assistant - Generic</t>
  </si>
  <si>
    <t>Character AI</t>
  </si>
  <si>
    <t>https://character.ai/</t>
  </si>
  <si>
    <t>An AI platform for engaging in natural, open-ended conversations and creative tasks.</t>
  </si>
  <si>
    <t>Claude</t>
  </si>
  <si>
    <t>https://claude.ai/</t>
  </si>
  <si>
    <t>Best for reasoning, creativity, coding. Sonnet is the Claude model. Built by Anthropic. Claude Cowork  automates desktop tasks</t>
  </si>
  <si>
    <t>Found better - ChatGPT</t>
  </si>
  <si>
    <t>DeepSeek</t>
  </si>
  <si>
    <t>https://chat.deepseek.com/a</t>
  </si>
  <si>
    <t>Open source. No doc edit. Free Chinese ChatGPT competitor</t>
  </si>
  <si>
    <t>Gemini</t>
  </si>
  <si>
    <t>https://gemini.google.com/</t>
  </si>
  <si>
    <t>Generic Own LLM</t>
  </si>
  <si>
    <t>Infuzu</t>
  </si>
  <si>
    <t>https://infuzu.com/</t>
  </si>
  <si>
    <t>One chat - All LLMs, auto selected based on best performance per task</t>
  </si>
  <si>
    <t>JanitorAI</t>
  </si>
  <si>
    <t>https://janitorai.com/</t>
  </si>
  <si>
    <t>Bridging AI and human interaction while keeping conversations safe and engaging.</t>
  </si>
  <si>
    <t>Liquid AI</t>
  </si>
  <si>
    <t>https://playground.liquid.ai/</t>
  </si>
  <si>
    <t>Llama</t>
  </si>
  <si>
    <t>Llama 3.2</t>
  </si>
  <si>
    <t xml:space="preserve"> open source </t>
  </si>
  <si>
    <t>Meta</t>
  </si>
  <si>
    <t>Meta AI</t>
  </si>
  <si>
    <t xml:space="preserve">Voice-based interaction, assitant </t>
  </si>
  <si>
    <t>Mistral</t>
  </si>
  <si>
    <t>https://chat.mistral.ai/chat</t>
  </si>
  <si>
    <t xml:space="preserve">Generic Own LLM. API available in the bacgkround too for OCR PDF conversion to markdown for LLMs to interact with. </t>
  </si>
  <si>
    <t>Assistant - generic</t>
  </si>
  <si>
    <t>Monica</t>
  </si>
  <si>
    <t>An all-in-one AI assistant to help you chat, search, write, translate and more. It also offers tools for image, video, and PDF processing.</t>
  </si>
  <si>
    <t>Qwen (Alibaba)</t>
  </si>
  <si>
    <t>UPDATE</t>
  </si>
  <si>
    <t xml:space="preserve">Alibaba’s model. Qwen2.5 Omni, can work seamlessly across text, audio, video, and images. features that are usually only available with pricey, closed-source LLMs. </t>
  </si>
  <si>
    <t>Reiki</t>
  </si>
  <si>
    <t>An extensive suite for developing and monetizing AI-powered agents.</t>
  </si>
  <si>
    <t>Rewind</t>
  </si>
  <si>
    <t>https://www.rewind.ai/</t>
  </si>
  <si>
    <t>Rewind is an AI assistant powered by your experiences.</t>
  </si>
  <si>
    <t>Runable</t>
  </si>
  <si>
    <t>https://runable.com/</t>
  </si>
  <si>
    <t>AI agent to think, plan, and execute any end-to-end tasks.</t>
  </si>
  <si>
    <t>SuperGPT</t>
  </si>
  <si>
    <t>https://www.superjoin.ai/</t>
  </si>
  <si>
    <t>Discover how SuperGPT on Google Sheets revolutionizes your workflow,
bringing advanced AI capabilities to your spreadsheets.</t>
  </si>
  <si>
    <t>Vance AI Art Generator</t>
  </si>
  <si>
    <t>https://vanceai.com/</t>
  </si>
  <si>
    <t>Vance AI offers a collection of AI tools, and it's recently added a
text-to-image art generator.</t>
  </si>
  <si>
    <t xml:space="preserve">Capacitive </t>
  </si>
  <si>
    <t>https://www.capacitive.ai/</t>
  </si>
  <si>
    <t xml:space="preserve"> Unified agents for cross-platform task management</t>
  </si>
  <si>
    <t>Copilot (Microsoft)</t>
  </si>
  <si>
    <t>copilot.microsoft.com</t>
  </si>
  <si>
    <t>Productivity AI assistant across apps, voice, code, memory features</t>
  </si>
  <si>
    <t>Flowith Neo</t>
  </si>
  <si>
    <t>https://flowith.io/blank</t>
  </si>
  <si>
    <t xml:space="preserve">Generic assistant </t>
  </si>
  <si>
    <t>AI platform benchmark against Manus and OpenAI</t>
  </si>
  <si>
    <t>OneCliq</t>
  </si>
  <si>
    <t>Your personal AI-assistant to craft fresh, data-driven videos tailored to your style, backed by solid insight from your audience for content.</t>
  </si>
  <si>
    <t>Rely AI</t>
  </si>
  <si>
    <t>Developer portal. Map your entire software ecosystem, unify your engineering stack, and train your own custom AI assistant.</t>
  </si>
  <si>
    <t>Simular</t>
  </si>
  <si>
    <t>https://www.simular.ai/</t>
  </si>
  <si>
    <t>AI assistant for multiple personal tasks</t>
  </si>
  <si>
    <t>Jeda</t>
  </si>
  <si>
    <t>https://go.jeda.ai/rJHfxrtH</t>
  </si>
  <si>
    <t xml:space="preserve">Multiple AI tool with many features. Great for consulting </t>
  </si>
  <si>
    <t>Assistant - Generic (Multi LLM)</t>
  </si>
  <si>
    <t>You</t>
  </si>
  <si>
    <t>https://you.com/</t>
  </si>
  <si>
    <t>Generic with multiople pre built agents and access to all major LLMs.</t>
  </si>
  <si>
    <t>Duplicate of ChatGPT</t>
  </si>
  <si>
    <t>Abacus</t>
  </si>
  <si>
    <t>https://abacus.ai/</t>
  </si>
  <si>
    <t xml:space="preserve">Generic with multiople pre built agents and access to all major LLMs. </t>
  </si>
  <si>
    <t>Cogniflow</t>
  </si>
  <si>
    <t>Create AI chatbots, extract info, analyze images, chat with your docs, or create your own AI models.</t>
  </si>
  <si>
    <t xml:space="preserve">Assistant - generic / chatbot </t>
  </si>
  <si>
    <t>Jobs Chat</t>
  </si>
  <si>
    <t>https://jobschat.ai/</t>
  </si>
  <si>
    <t xml:space="preserve">Discover an AI-powered chat platform for jobs. </t>
  </si>
  <si>
    <t>ChatGPT</t>
  </si>
  <si>
    <t>https://chatgpt.com/</t>
  </si>
  <si>
    <t>Use - Daily</t>
  </si>
  <si>
    <t>Assistant - Generic + Operator</t>
  </si>
  <si>
    <t>Convergence</t>
  </si>
  <si>
    <t>https://convergence.ai/</t>
  </si>
  <si>
    <t>Personal AI assistants (and operator) that learn, adapt, and remember, handling tasks. a new class of models called Large Meta Learning Models (LMLM's), which are trained to keep acquiring new skills</t>
  </si>
  <si>
    <t>WAIT LIST</t>
  </si>
  <si>
    <t>On waitlist</t>
  </si>
  <si>
    <t>Runner Hcompany</t>
  </si>
  <si>
    <t>https://www.hcompany.ai/</t>
  </si>
  <si>
    <t>Complex web autmation. A true agent. First availbale for developers then the general public. Pending Beta release</t>
  </si>
  <si>
    <t>In beta testing wait list</t>
  </si>
  <si>
    <t>Manus</t>
  </si>
  <si>
    <t>https://manus.im/</t>
  </si>
  <si>
    <t>Generic. Own LLM that supposedely perfoms better thant GPT and includes and operator. On beta, signed up for wait list</t>
  </si>
  <si>
    <t>To test for coding</t>
  </si>
  <si>
    <t>Assistant - Generic + Operator + No Code Developer</t>
  </si>
  <si>
    <t>Autotab</t>
  </si>
  <si>
    <t>https://www.autotab.com/</t>
  </si>
  <si>
    <t>AI agent with operator automated on web browsing and executing</t>
  </si>
  <si>
    <t>Explore AI agent functionality</t>
  </si>
  <si>
    <t>Assistant - Operator</t>
  </si>
  <si>
    <t>Ripplica</t>
  </si>
  <si>
    <t>https://www.ripplica.com/</t>
  </si>
  <si>
    <t>allows you to automate any browser based workflow in three easy steps (record, review, launch).</t>
  </si>
  <si>
    <t>Before Sunset</t>
  </si>
  <si>
    <t>An AI personal assistant that plans your day by automatically generating daily schedules.</t>
  </si>
  <si>
    <t>Assistant - Productivity</t>
  </si>
  <si>
    <t>Quartzite</t>
  </si>
  <si>
    <t>A prompt IDE to easily write complex prompts, iterate, and compare quality of outputs.</t>
  </si>
  <si>
    <t xml:space="preserve">Assistant - prompts </t>
  </si>
  <si>
    <t>Epsilla</t>
  </si>
  <si>
    <t>https://epsilla.com/</t>
  </si>
  <si>
    <t>Build AI agents using your knowledge, similar to ChatGPT but with a focus on specialized tasks.</t>
  </si>
  <si>
    <t>Assistant - specialized tasks</t>
  </si>
  <si>
    <t>Altern</t>
  </si>
  <si>
    <t>A website to find tools, products, resources, and more related to AI.</t>
  </si>
  <si>
    <t xml:space="preserve">Assistant / business </t>
  </si>
  <si>
    <t>Leero</t>
  </si>
  <si>
    <t>https://leeroo.com/</t>
  </si>
  <si>
    <t xml:space="preserve"> Continuous learning AI agents</t>
  </si>
  <si>
    <t>Assistant / Data management</t>
  </si>
  <si>
    <t>enso</t>
  </si>
  <si>
    <t>https://enso.bot/</t>
  </si>
  <si>
    <t>content writing, SEO</t>
  </si>
  <si>
    <t>Automation</t>
  </si>
  <si>
    <t>Modelize AI</t>
  </si>
  <si>
    <t>Generate custom workflows instantly for your team projects, marketing campaigns, and more.</t>
  </si>
  <si>
    <t>Pabbly</t>
  </si>
  <si>
    <t>https://www.pabbly.com/</t>
  </si>
  <si>
    <t>Manage marketing and sales, create forms, collect payments, automate tasks, send email campaigns</t>
  </si>
  <si>
    <t>Parabola</t>
  </si>
  <si>
    <t>https://parabola.io/</t>
  </si>
  <si>
    <t>Data automation for modern operations &amp; finance teams</t>
  </si>
  <si>
    <t>Neulink</t>
  </si>
  <si>
    <t>https://nuelink.com/</t>
  </si>
  <si>
    <t xml:space="preserve">Plan, automate and manage your social media </t>
  </si>
  <si>
    <t>Automation - social media</t>
  </si>
  <si>
    <t>Bizplanr</t>
  </si>
  <si>
    <t>https://bizplanr.ai/</t>
  </si>
  <si>
    <t>Create professional business plans effortlessly with AI-powered technology.</t>
  </si>
  <si>
    <t>Business</t>
  </si>
  <si>
    <t>Didero</t>
  </si>
  <si>
    <t>https://www.didero.ai/</t>
  </si>
  <si>
    <t>Automates supply chain workflows with AI, integrating with existing systems for proactive order management and RFQ automation.</t>
  </si>
  <si>
    <t>GoProfiles</t>
  </si>
  <si>
    <t>https://www.goprofiles.io/</t>
  </si>
  <si>
    <t>AI-powered employee directory and recognition tool for distributed workforces.</t>
  </si>
  <si>
    <t>Hearth</t>
  </si>
  <si>
    <t>https://hearth.ai/</t>
  </si>
  <si>
    <t>Uses AI to manage contacts, understanding user needs and
prioritizing connections.</t>
  </si>
  <si>
    <t>HeyCloud</t>
  </si>
  <si>
    <t>Automate, build, and manage cloud stacks in simple English with AI.</t>
  </si>
  <si>
    <t>My AskAI</t>
  </si>
  <si>
    <t>https://myaskai.com/</t>
  </si>
  <si>
    <t>My AskAI is a shareable, no-coding-required content creator that
processes any Q&amp;A within 3 minutes.</t>
  </si>
  <si>
    <t>Namify</t>
  </si>
  <si>
    <t>https://namify.tech/</t>
  </si>
  <si>
    <t xml:space="preserve"> fast and easy way to generate unique business names
and create free logos.</t>
  </si>
  <si>
    <t>Odoo</t>
  </si>
  <si>
    <t>https://www.odoo.com/</t>
  </si>
  <si>
    <t xml:space="preserve">AI-powered 
tools for ERP, CRM, eCommerce, and CMS to manage your business operations, boost sales and enhance
customer experiences. </t>
  </si>
  <si>
    <t>Outerform</t>
  </si>
  <si>
    <t>https://www.outerform.ai/</t>
  </si>
  <si>
    <t>create smart web forms with AI insights for
faster responses and a great user experience.</t>
  </si>
  <si>
    <t>Talently AI</t>
  </si>
  <si>
    <t>https://interview.talently.ai/</t>
  </si>
  <si>
    <t>An AI interviewer that conducts live, conversational interviews and gives
real-time evaluations to effortlessly identify top performers.</t>
  </si>
  <si>
    <t>Feedbackbyai</t>
  </si>
  <si>
    <t>Validate your business idea and craft a business report based on your idea potential.</t>
  </si>
  <si>
    <t xml:space="preserve">Business </t>
  </si>
  <si>
    <t>Azure AI Foundry</t>
  </si>
  <si>
    <t>https://ai.azure.com/</t>
  </si>
  <si>
    <t>build, optimize, and govern AI apps and agents</t>
  </si>
  <si>
    <t>Review AI app and agent development capabilities</t>
  </si>
  <si>
    <t xml:space="preserve">Business - Agent </t>
  </si>
  <si>
    <t xml:space="preserve">PwC AI agent OS </t>
  </si>
  <si>
    <t>https://www.pwc.com/us/en/services/ai/agent-os.html</t>
  </si>
  <si>
    <t>Investigate claims of workflow speed improvements - integrate and govern AI agents across applications</t>
  </si>
  <si>
    <t>Genfuse</t>
  </si>
  <si>
    <t>https://genfuseai.com/</t>
  </si>
  <si>
    <t>Build and automate custom AI agents to automate workflows.Personalize outreach, Extract relevant info from documents, Scrape and summarize websites, Analyse survey responses</t>
  </si>
  <si>
    <t>Business - Automation</t>
  </si>
  <si>
    <t>Gumloop</t>
  </si>
  <si>
    <t>https://www.gumloop.com/</t>
  </si>
  <si>
    <t>The no-code platform for AI-powered business automations.</t>
  </si>
  <si>
    <t>Relay.app</t>
  </si>
  <si>
    <t>https://www.relay.app/</t>
  </si>
  <si>
    <t>Incorporate AI into your automations.</t>
  </si>
  <si>
    <t>Booke AI</t>
  </si>
  <si>
    <t>https://booke.ai/</t>
  </si>
  <si>
    <t>Bookkeeping with AI-driven automation and accuracy.</t>
  </si>
  <si>
    <t>Business - Bookeeping</t>
  </si>
  <si>
    <t>Telescope</t>
  </si>
  <si>
    <t xml:space="preserve">https://app.trytelescope.io/ </t>
  </si>
  <si>
    <t>Prospecting, searching and curating for B2B leads. Scans your website, helps you build a target list with emaikls and phones. Creates a CRM list. Can sync with existing CRM. Export list. Found 2 out of 5 emails tested</t>
  </si>
  <si>
    <t>I Have a User - Havent had time</t>
  </si>
  <si>
    <t>Business - Business Development</t>
  </si>
  <si>
    <t>CostGPT</t>
  </si>
  <si>
    <t>https://costgpt.ai/</t>
  </si>
  <si>
    <t>writes the cost, timeline, who to hire, stories, site map, etc. For my business ideas. Helps Startups at Idea Stage</t>
  </si>
  <si>
    <t>Use for one of my app ideas</t>
  </si>
  <si>
    <t>Business - Business Plans</t>
  </si>
  <si>
    <t>Crayon</t>
  </si>
  <si>
    <t>https://www.crayon.co/</t>
  </si>
  <si>
    <t>provides real-time insights on your competitors</t>
  </si>
  <si>
    <t>Business - Competitors</t>
  </si>
  <si>
    <t>Ryvalyze</t>
  </si>
  <si>
    <t>https://rivalyze.io/</t>
  </si>
  <si>
    <t xml:space="preserve">Track competitors, their news, posts, etc </t>
  </si>
  <si>
    <t>Sharbo</t>
  </si>
  <si>
    <t>https://www.sharbo.io/</t>
  </si>
  <si>
    <t>track and manage competitor intelligence with consolidated insights, automated multi-sourced reportin</t>
  </si>
  <si>
    <t>Validator</t>
  </si>
  <si>
    <t>https://validator.help/</t>
  </si>
  <si>
    <t>Do competitor and trend research effortlessly.
Just describe your idea and let the platform do the magic.</t>
  </si>
  <si>
    <t>Hoops AI</t>
  </si>
  <si>
    <t>Get trading insights to stay ahead of market trends and maximize your investment potential</t>
  </si>
  <si>
    <t>Business - Insights</t>
  </si>
  <si>
    <t>Simple Analytics</t>
  </si>
  <si>
    <t>Get insights about your business by chatting with your analytics in real-time using AI.</t>
  </si>
  <si>
    <t>IdeaApe</t>
  </si>
  <si>
    <t>https://ideaape.com/</t>
  </si>
  <si>
    <t>AI market research tool designed to craft effective brand strategies.</t>
  </si>
  <si>
    <t>Business - market research</t>
  </si>
  <si>
    <t>PitchLeague AI</t>
  </si>
  <si>
    <t>https://www.pitchleague.ai/</t>
  </si>
  <si>
    <t>AI coach that provides feedback on pitch decks, improving startup investability. Free</t>
  </si>
  <si>
    <t>Business - pitch deck</t>
  </si>
  <si>
    <t>Vanta</t>
  </si>
  <si>
    <t>https://www.vanta.com/</t>
  </si>
  <si>
    <t>Automate compliance, manage risk</t>
  </si>
  <si>
    <t>Business - Risk management</t>
  </si>
  <si>
    <t>Dextra</t>
  </si>
  <si>
    <t>An AI-powered sales assistant to help you streamline your client communications and sales processes.</t>
  </si>
  <si>
    <t>Business - Sales</t>
  </si>
  <si>
    <t>Oliv</t>
  </si>
  <si>
    <t>https://www.oliv.ai/</t>
  </si>
  <si>
    <t xml:space="preserve">A sales tool. Like a CRM with notes, insights, meeting recordings, etc. Expensive, Starts at 300 per month for 3 users </t>
  </si>
  <si>
    <t>Vooma</t>
  </si>
  <si>
    <t>https://www.vooma.com/solutions/cover</t>
  </si>
  <si>
    <t>AI-powered carrier sales agent</t>
  </si>
  <si>
    <t>Tabish recommended for integration to Movd.</t>
  </si>
  <si>
    <t>Topo</t>
  </si>
  <si>
    <t xml:space="preserve">	
Topo.io | Home</t>
  </si>
  <si>
    <t xml:space="preserve">	
Sales agent</t>
  </si>
  <si>
    <t xml:space="preserve">Business - Sales </t>
  </si>
  <si>
    <t>Sybill AI</t>
  </si>
  <si>
    <t>Analyze your sales conversations at a deal-level to autofill your CRM in real time and generate precise call summaries alongside follow-up emails.</t>
  </si>
  <si>
    <t>Business - Sales / CRM</t>
  </si>
  <si>
    <t>Clay</t>
  </si>
  <si>
    <t>https://www.clay.com/</t>
  </si>
  <si>
    <t xml:space="preserve">premium data sources and AI research agents in one platform, then automate growth workflows </t>
  </si>
  <si>
    <t>Business - Sales development</t>
  </si>
  <si>
    <t>Happenstance</t>
  </si>
  <si>
    <t>https://happenstance.ai/</t>
  </si>
  <si>
    <t xml:space="preserve">Connects to your linkedin, X and Gmail accounts, lists all connections, and asks them to list their connections. Then creates a master DB to search through to find people in the expanded network. Assume it needs permission from connections to actually work </t>
  </si>
  <si>
    <t>SocialBlaze</t>
  </si>
  <si>
    <t>https://socialblaze.ai/</t>
  </si>
  <si>
    <t>analyze social posts, interactions 
and connections to target potential
customers who have expressed interest on platforms like X and LinkedIn.</t>
  </si>
  <si>
    <t>Business - Sales Development</t>
  </si>
  <si>
    <t>Opencord</t>
  </si>
  <si>
    <t>https://www.opencord.ai/</t>
  </si>
  <si>
    <t>Monitor social media and reply to posts for business development. Target, monitor, reply. X, Reddit and TIkTok</t>
  </si>
  <si>
    <t xml:space="preserve">Business - Sales Development </t>
  </si>
  <si>
    <t>Snoops</t>
  </si>
  <si>
    <t>https://www.snoops.co/</t>
  </si>
  <si>
    <t>Find potential clients discussing their pain points in real-time across any subreddit</t>
  </si>
  <si>
    <t>Openmart</t>
  </si>
  <si>
    <t>https://www.openmart.com/</t>
  </si>
  <si>
    <t>Local business search engine with 20M+ local businesses for outreach campaigns.</t>
  </si>
  <si>
    <t xml:space="preserve">Business - search engine </t>
  </si>
  <si>
    <t>Nuvio</t>
  </si>
  <si>
    <t>https://www.nuvio.io/</t>
  </si>
  <si>
    <t>AI accounting system with a built-in chatbot for answering transaction-related questions.</t>
  </si>
  <si>
    <t>Business - tools</t>
  </si>
  <si>
    <t>Roger</t>
  </si>
  <si>
    <t>https://www.hireroger.com/</t>
  </si>
  <si>
    <t>finds your ideal leads, crafts tailored emails, and automates follow-ups</t>
  </si>
  <si>
    <t>Business / Automation / Emails / Leads</t>
  </si>
  <si>
    <t>Vic.ai</t>
  </si>
  <si>
    <t>https://www.vic.ai/</t>
  </si>
  <si>
    <t>Revolutionize accounting with AI-driven invoice automation and insights.</t>
  </si>
  <si>
    <t>Business Accounting</t>
  </si>
  <si>
    <t>SpeakDocs</t>
  </si>
  <si>
    <t>https://speakdocs.io/</t>
  </si>
  <si>
    <t>Upload a doc, and ask info about it. Basic, pricey for only doing that (10 dollars per month)</t>
  </si>
  <si>
    <t>Chatbot</t>
  </si>
  <si>
    <t>Simpro</t>
  </si>
  <si>
    <t xml:space="preserve">	
simprogroup.com
</t>
  </si>
  <si>
    <t>Widely used by contractors to manage jobs, quotes, and scheduling.</t>
  </si>
  <si>
    <t>integrated with elyos</t>
  </si>
  <si>
    <t>Commercial field service management software</t>
  </si>
  <si>
    <t>MarketingBlocks
AI</t>
  </si>
  <si>
    <t>https://marketingblocks.ai/</t>
  </si>
  <si>
    <t>MarketingBlocks AI incorporates a futuristic AI assistant named Ethan,
who creates and generates all your marketing essentials within minutes.</t>
  </si>
  <si>
    <t>Content Creator - Marketing</t>
  </si>
  <si>
    <t>Grok</t>
  </si>
  <si>
    <t>https://x.ai/</t>
  </si>
  <si>
    <t>innovative research and creative insights - assistant</t>
  </si>
  <si>
    <t>Content generation</t>
  </si>
  <si>
    <t>Jasper Art</t>
  </si>
  <si>
    <t>https://www.jasper.ai/art</t>
  </si>
  <si>
    <t>Jasper is better known for being one of the best AI writing generators, but it also
has a decent art generator as well. It's more expensive than a lot of the other
apps on this list, but if you already use Jasper, it's worth a look.</t>
  </si>
  <si>
    <t>Content Generation</t>
  </si>
  <si>
    <t>Pitchpower</t>
  </si>
  <si>
    <t>https://pitchpower.ai/</t>
  </si>
  <si>
    <t>A simple workflow tool for freelancers, agencies, and service firms who prospect, pitch, or propose. ABOL</t>
  </si>
  <si>
    <t>Promptly</t>
  </si>
  <si>
    <t>Build tailor-made generative AI agents, applications and chatbots that cater to your users' unique needs.</t>
  </si>
  <si>
    <t>Brainstory</t>
  </si>
  <si>
    <t>A virtual coach to help you communicate ideas to your team.</t>
  </si>
  <si>
    <t>Content Generation -  Knowledge Base</t>
  </si>
  <si>
    <t>Dewstack AI</t>
  </si>
  <si>
    <t>https://dewstack.com/</t>
  </si>
  <si>
    <t>Transform scattered content into a structured, fully hosted knowledge hub—searchable, brandable, and built for instant, intelligent access wherever your users need it.</t>
  </si>
  <si>
    <t>Dubble</t>
  </si>
  <si>
    <t>https://dubble.so/</t>
  </si>
  <si>
    <t>Dubble: Turn your actions into instant documentation like Guidde, cheaper and free version (also only web based, can do other apps in Mac only). User Guiddes</t>
  </si>
  <si>
    <t>Movd used. Same as Guidde</t>
  </si>
  <si>
    <t>Educato</t>
  </si>
  <si>
    <t>https://www.educato.ai/</t>
  </si>
  <si>
    <t>Create your own online teaching platform</t>
  </si>
  <si>
    <t>Grammarly AI</t>
  </si>
  <si>
    <t>Accelerate your writing process. Compose, ideate, rewrite.</t>
  </si>
  <si>
    <t>Grimo AI</t>
  </si>
  <si>
    <t>https://go.grimo.ai/</t>
  </si>
  <si>
    <t>Gathering and sharing knowledge from various sources like YouTube, Twitter, and Podcasts.</t>
  </si>
  <si>
    <t>Guidde*</t>
  </si>
  <si>
    <t>https://www.guidde.com/</t>
  </si>
  <si>
    <t>Magically create video documentation with AI. User Guides</t>
  </si>
  <si>
    <t>Ideamap</t>
  </si>
  <si>
    <t>Brainstorm ideas with your team using AI.</t>
  </si>
  <si>
    <t>Inncivio</t>
  </si>
  <si>
    <t>https://www.inncivio.com/</t>
  </si>
  <si>
    <t>Learning tool for business. Employee Training</t>
  </si>
  <si>
    <t>Layerpath</t>
  </si>
  <si>
    <t>https://www.layerpath.com/</t>
  </si>
  <si>
    <t>Creating interactive demos, product tours, and step-by-step guides. User Guides</t>
  </si>
  <si>
    <t>Lucidchart</t>
  </si>
  <si>
    <t>Create flowcharts &amp; diagrams</t>
  </si>
  <si>
    <t>Magic Documents</t>
  </si>
  <si>
    <t>https://magicdocuments.ai/</t>
  </si>
  <si>
    <t>Organize, rename, summarize, and extract key data from any document. Document Reader and management</t>
  </si>
  <si>
    <t>Paillor</t>
  </si>
  <si>
    <t>https://www.paillor.com/</t>
  </si>
  <si>
    <t>Integrates knowledge bases, automation, and help desk functions.</t>
  </si>
  <si>
    <t>Mermaid</t>
  </si>
  <si>
    <t>https://mermaid.live/</t>
  </si>
  <si>
    <t xml:space="preserve"> Collaborative diagram creation</t>
  </si>
  <si>
    <t>Wizardshot</t>
  </si>
  <si>
    <t>Create AI-powered step-by-step tutorials in seconds. Replace Guidde?</t>
  </si>
  <si>
    <t>LogoFast</t>
  </si>
  <si>
    <t>Create stunning logos in just a few clicks with AI.</t>
  </si>
  <si>
    <t>Content generation - Branding &amp; Logos</t>
  </si>
  <si>
    <t>Looka AI</t>
  </si>
  <si>
    <t>AI-powered platform to design a logo for your brand that truly represents you.</t>
  </si>
  <si>
    <t>Caspa AI</t>
  </si>
  <si>
    <t>Bring your e-commerce products to life by adding photorealistic human models, animals and custom backgrounds.</t>
  </si>
  <si>
    <t>Content Generation - Images</t>
  </si>
  <si>
    <t>Accento</t>
  </si>
  <si>
    <t>https://accento.ai/</t>
  </si>
  <si>
    <t>AI-powered content creation. Generate engaging posts, schedule your content</t>
  </si>
  <si>
    <t>Content Generation - Linkedin Post Generators</t>
  </si>
  <si>
    <t>PB&amp;J</t>
  </si>
  <si>
    <t>https://pbnj.ai/</t>
  </si>
  <si>
    <t>Generate, schedule your posts. Effortlessly create content that resonates with your unique tone of voice.</t>
  </si>
  <si>
    <t>Taplio</t>
  </si>
  <si>
    <t>https://taplio.com/</t>
  </si>
  <si>
    <t>AI tool to help grow your LinkedIn following with targeted suggestions and strategies.</t>
  </si>
  <si>
    <t>DeckSpeed</t>
  </si>
  <si>
    <t>link.mail.beehiiv.com</t>
  </si>
  <si>
    <t>Slide maker</t>
  </si>
  <si>
    <t>Content Generation - Presentation</t>
  </si>
  <si>
    <t>Decktopus</t>
  </si>
  <si>
    <t>https://www.decktopus.com/</t>
  </si>
  <si>
    <t>Easily generate presentations and customize them with a wide range of themes, fonts, and colors.</t>
  </si>
  <si>
    <t>Discarded</t>
  </si>
  <si>
    <t>Found a better option, Gamma is better</t>
  </si>
  <si>
    <t>Gamma AI*</t>
  </si>
  <si>
    <t>https://gamma.app/</t>
  </si>
  <si>
    <t xml:space="preserve">Create presentations, documents and webpages </t>
  </si>
  <si>
    <t>Voxdeck</t>
  </si>
  <si>
    <t>https://www.voxdeck.ai/</t>
  </si>
  <si>
    <t>AI presentation maker</t>
  </si>
  <si>
    <t>Better Powerpoints</t>
  </si>
  <si>
    <t>https://www.betterpowerpoints.com/</t>
  </si>
  <si>
    <t>Turn ideas into powerpoints</t>
  </si>
  <si>
    <t>Ocoya</t>
  </si>
  <si>
    <t>https://www.ocoya.com/</t>
  </si>
  <si>
    <t>Ocoya is an AI social media manager that supports creating and scheduling content.</t>
  </si>
  <si>
    <t>Content generation - Text</t>
  </si>
  <si>
    <t>Pointer</t>
  </si>
  <si>
    <t>https://www.getpointer.ai/</t>
  </si>
  <si>
    <t>Edit GOOGLE Docs. Coming up with excel and google presenttions soon. Rather than copy and paste from ChatGPT, do it in doc as edit suggestions</t>
  </si>
  <si>
    <t>Rewritify</t>
  </si>
  <si>
    <t>https://rewritify.ai/</t>
  </si>
  <si>
    <t>Checks or rewrites text so you know if it was AI written or makes it appear human written</t>
  </si>
  <si>
    <t>Samwell AI</t>
  </si>
  <si>
    <t>https://www.samwell.ai/</t>
  </si>
  <si>
    <t>It's an AI-powered tool designed to make essay and paper writing
easy and efficient.</t>
  </si>
  <si>
    <t>Moonbeam</t>
  </si>
  <si>
    <t>Write essays, stories, articles, blogs, and other long form content using AI.</t>
  </si>
  <si>
    <t>Maverick</t>
  </si>
  <si>
    <t>https://lnkd.in/dmrkz_ah</t>
  </si>
  <si>
    <t>Genera vídeos personalizados a escala</t>
  </si>
  <si>
    <t>Content Generation - Video</t>
  </si>
  <si>
    <t>Record Once</t>
  </si>
  <si>
    <t>Create video tutorials in minutes with an AI that edits and fixes mistakes.</t>
  </si>
  <si>
    <t>Ezsite</t>
  </si>
  <si>
    <t>https://ezsite.ai/</t>
  </si>
  <si>
    <t>Test insurance/contact lead forms</t>
  </si>
  <si>
    <t>Content Generation - website, etc</t>
  </si>
  <si>
    <t>Motionik</t>
  </si>
  <si>
    <t>https://motionik.com/</t>
  </si>
  <si>
    <t>screen recordings for product demos, tutorials and explainers</t>
  </si>
  <si>
    <t>Content Generator - Knowledgebase</t>
  </si>
  <si>
    <t>crmCopilot</t>
  </si>
  <si>
    <t>https://crmcopilot.co/</t>
  </si>
  <si>
    <t xml:space="preserve">AI Agents to Automate CRM Updates, Automate Task Management, Globally Search for customer information </t>
  </si>
  <si>
    <t>Dovetail</t>
  </si>
  <si>
    <t>https://dovetail.com/</t>
  </si>
  <si>
    <t>Customer research, customer insights, product feedback.</t>
  </si>
  <si>
    <t>MyAsk AI</t>
  </si>
  <si>
    <t>An AI customer support assistant that gives conversational answers to any customer question about your product.</t>
  </si>
  <si>
    <t>Streak</t>
  </si>
  <si>
    <t>AI-powered CRM co-pilot with data entry, precise insights, and tailored suggestions to help your team make informed decisions.</t>
  </si>
  <si>
    <t>Threado</t>
  </si>
  <si>
    <t>An AI-powered customer support assistant trained on your knowledge base, past resolutions, workspace and community conversations.</t>
  </si>
  <si>
    <t>Ioni</t>
  </si>
  <si>
    <t>Automatically generate responses to customer support inquiries, using knowledge bases as the main source.</t>
  </si>
  <si>
    <t>HighLevel</t>
  </si>
  <si>
    <t>https://www.gohighlevel.com/</t>
  </si>
  <si>
    <t>CRM for trades and field services</t>
  </si>
  <si>
    <t>Ava</t>
  </si>
  <si>
    <t>https://www.artisan.co/ai-sales-agent</t>
  </si>
  <si>
    <t>AI-powered SDR for sales outreach.</t>
  </si>
  <si>
    <t>CRM - Sales Rep</t>
  </si>
  <si>
    <t>Syncly</t>
  </si>
  <si>
    <t>Extract insights from customer feedback.</t>
  </si>
  <si>
    <t>Customer feedback</t>
  </si>
  <si>
    <t>Zerve</t>
  </si>
  <si>
    <t>A unified developer space for data science and AI teams to explore, collaborate, and build together.</t>
  </si>
  <si>
    <t>Data</t>
  </si>
  <si>
    <t>Graphy</t>
  </si>
  <si>
    <t>https://graphy.app/</t>
  </si>
  <si>
    <t xml:space="preserve">Create pro-level graphs </t>
  </si>
  <si>
    <t>Data Analytics</t>
  </si>
  <si>
    <t>SimplyPut</t>
  </si>
  <si>
    <t>https://simplyput.ai/</t>
  </si>
  <si>
    <t>SimplyPut is an AI-driven data analytics platform that democratizes data access. Have trusted conversations with your database.</t>
  </si>
  <si>
    <t>CalcGen AI</t>
  </si>
  <si>
    <t>https://calcgen.ai/</t>
  </si>
  <si>
    <t>Creates interactive charts, graphs, calculators, and data visualizations effortlessly.</t>
  </si>
  <si>
    <t>Laterbase</t>
  </si>
  <si>
    <t>Chat directly with your bookmarks to quickly retrieve information and extract key insights, ensuring you never miss what's important.</t>
  </si>
  <si>
    <t>Align AI</t>
  </si>
  <si>
    <t>Helps product teams easily analyze conversational data generated from AI-powered apps.</t>
  </si>
  <si>
    <t xml:space="preserve">Data management </t>
  </si>
  <si>
    <t>Genie</t>
  </si>
  <si>
    <t>https://www.opengenie.ai/</t>
  </si>
  <si>
    <t>Analyze, summarize, and visualize data without all the complex SQL requirements.</t>
  </si>
  <si>
    <t>Lume AI</t>
  </si>
  <si>
    <t>Maps data in seconds. Review, edit, and deploy data mappers, and use them indefinitely.</t>
  </si>
  <si>
    <t>Parsio</t>
  </si>
  <si>
    <t>https://parsio.io/</t>
  </si>
  <si>
    <t>Extracts data from emails and documents.</t>
  </si>
  <si>
    <t>Reworkd</t>
  </si>
  <si>
    <t>https://www.reworkd.ai/</t>
  </si>
  <si>
    <t>End-to-end data extraction</t>
  </si>
  <si>
    <t>Sama</t>
  </si>
  <si>
    <t>Capture every conversation, transform moments into insights</t>
  </si>
  <si>
    <t>StackAI</t>
  </si>
  <si>
    <t>https://www.stack-ai.com/</t>
  </si>
  <si>
    <t>AI agents transform unstructured data into structured insights through extraction, retrieval, and generation.</t>
  </si>
  <si>
    <t>Watto AI</t>
  </si>
  <si>
    <t xml:space="preserve">Transform your product team with AI-powered docs. Integrate your data from multiple platforms and generate documents </t>
  </si>
  <si>
    <t>Webhound</t>
  </si>
  <si>
    <t>https://www.webhound.ai/</t>
  </si>
  <si>
    <t>builds custom datasets from the web, automatically finding, extracting, and organizing data into structured datasets.</t>
  </si>
  <si>
    <t>Incongni</t>
  </si>
  <si>
    <t>https://incogni.com/</t>
  </si>
  <si>
    <t>Monitors and requests PII removal. Uses the GDPR, CCPA, and other applicable privacy laws to make data brokers remove personal information from their databases.</t>
  </si>
  <si>
    <t>Data Privacy Protection</t>
  </si>
  <si>
    <t>Puzzle</t>
  </si>
  <si>
    <t>https://www.puzzlelabs.ai/</t>
  </si>
  <si>
    <t>Construye una base de conocimiento impulsada por la IA para tu equipo y clientes</t>
  </si>
  <si>
    <t>Database</t>
  </si>
  <si>
    <t>Theresanaiforthat</t>
  </si>
  <si>
    <t>https://lnkd.in/dKhqaaF3</t>
  </si>
  <si>
    <t>Base de datos completa de IAs disponible para cada tarea</t>
  </si>
  <si>
    <t>Epiphany</t>
  </si>
  <si>
    <t>https://epiphany.education/</t>
  </si>
  <si>
    <t>Instructional design</t>
  </si>
  <si>
    <t>Test voice notes integration</t>
  </si>
  <si>
    <t>Design</t>
  </si>
  <si>
    <t>Estampado</t>
  </si>
  <si>
    <t>https://www.patterned.ai/</t>
  </si>
  <si>
    <t>Genera los patrones exactos que necesitas y diseña</t>
  </si>
  <si>
    <t xml:space="preserve">Design </t>
  </si>
  <si>
    <t>Collov AI</t>
  </si>
  <si>
    <t>Leverage AI to create realistic and smartly edited design renderings for your home.</t>
  </si>
  <si>
    <t>Design - interior</t>
  </si>
  <si>
    <t>Behavly</t>
  </si>
  <si>
    <t>Targeted tweaks: Enter your URL and get actionable suggestions on content, design, and functionality.</t>
  </si>
  <si>
    <t xml:space="preserve">Design - web </t>
  </si>
  <si>
    <t>Doclime</t>
  </si>
  <si>
    <t>Import any PDF and get answers instantly using AI.</t>
  </si>
  <si>
    <t>Document analysis</t>
  </si>
  <si>
    <t>IlovePDF</t>
  </si>
  <si>
    <t>https://www.ilovepdf.com/</t>
  </si>
  <si>
    <t xml:space="preserve">Merge, split, compress, convert, rotate, unlock and watermark PDFs </t>
  </si>
  <si>
    <t>Document Editor - pdfs</t>
  </si>
  <si>
    <t>File.ai</t>
  </si>
  <si>
    <t>https://www.file.ai/</t>
  </si>
  <si>
    <t>Like Parseur, but has free version that can do quite a bit</t>
  </si>
  <si>
    <t>Document Parser</t>
  </si>
  <si>
    <t>Parseur</t>
  </si>
  <si>
    <t>https://parseur.com/</t>
  </si>
  <si>
    <t>Maximize data extraction efficiency with AI-powered precision,
OCR, and customizable templates.</t>
  </si>
  <si>
    <t>RapidScan</t>
  </si>
  <si>
    <t>https://rapidscan.ai/</t>
  </si>
  <si>
    <t>Same as Parseur. Advanced OCR, data sructure and extract</t>
  </si>
  <si>
    <t>ParseWise</t>
  </si>
  <si>
    <t xml:space="preserve">	
parsewise.com</t>
  </si>
  <si>
    <t>AI summarizer and annotator for documents</t>
  </si>
  <si>
    <t>UPDF</t>
  </si>
  <si>
    <t>https://ai.updf.com/</t>
  </si>
  <si>
    <t>summarize lengthy PDF, translate PDF without losing layout, convert PDF to mind map. </t>
  </si>
  <si>
    <t>Document Summary</t>
  </si>
  <si>
    <t>Digital Main Street</t>
  </si>
  <si>
    <t>https://digitalmainstreet.ca/</t>
  </si>
  <si>
    <t>Digital and e-commerce grant opportunities</t>
  </si>
  <si>
    <t>E-commerce</t>
  </si>
  <si>
    <t>Hoppy Copy</t>
  </si>
  <si>
    <t>Write better email campaigns and generate powerful content for hundreds of email marketing campaigns and drips</t>
  </si>
  <si>
    <t>Email</t>
  </si>
  <si>
    <t>Jace AI</t>
  </si>
  <si>
    <t xml:space="preserve">	
https://jace.ai/</t>
  </si>
  <si>
    <t>Email generation and management via AI</t>
  </si>
  <si>
    <t>Snoooz AI</t>
  </si>
  <si>
    <t>Send personalized out of office responses and automatically loop in backups on urgent conversations</t>
  </si>
  <si>
    <t>Copia inteligente Unbounce</t>
  </si>
  <si>
    <t>https://unbounce.com/</t>
  </si>
  <si>
    <t>Escribe correos electrónicos fríos de alto rendimiento a escala</t>
  </si>
  <si>
    <t xml:space="preserve">Email </t>
  </si>
  <si>
    <t>Humanic AI</t>
  </si>
  <si>
    <t>Create a series of onboarding emails and identify the right recipients, content, and timing</t>
  </si>
  <si>
    <t>Inbox AI</t>
  </si>
  <si>
    <t>https://inbox-ai.app</t>
  </si>
  <si>
    <t>Manage emails and automate tasks with AI-powered workflows.</t>
  </si>
  <si>
    <t>Inbox Zero</t>
  </si>
  <si>
    <t>https://www.getinboxzero.com/</t>
  </si>
  <si>
    <t>Declutter your inbox in minutes with open-source email app that puts you back in control of your inbox.</t>
  </si>
  <si>
    <t>HighlightFactCheck</t>
  </si>
  <si>
    <t>https://highlightfactcheck.com/</t>
  </si>
  <si>
    <t>AI-powered fact-checking tool to verify information and improve accuracy.</t>
  </si>
  <si>
    <t>Fact checking</t>
  </si>
  <si>
    <t>Aptitude</t>
  </si>
  <si>
    <t>https://tryaptitude.ai/</t>
  </si>
  <si>
    <t>Conduct and analyze conversations with hundreds of customers, delivering the depth of an interview at the scale of a survey.</t>
  </si>
  <si>
    <t>Could do Survey for consulting customers</t>
  </si>
  <si>
    <t>Feedback Collection</t>
  </si>
  <si>
    <t>Opinion Stage AI</t>
  </si>
  <si>
    <t>https://www.opinionstage.com/</t>
  </si>
  <si>
    <t>Transform quizzes, forms, and surveys into engaging experiences.</t>
  </si>
  <si>
    <t>Poll Gen</t>
  </si>
  <si>
    <t>https://www.pollgen.com/</t>
  </si>
  <si>
    <t xml:space="preserve">Generate polls and share - simple UI. Analysises text responses. God for Scrum meetings, feedback gathering, team planning, </t>
  </si>
  <si>
    <t>Question Base</t>
  </si>
  <si>
    <t>https://www.questionbase.com/</t>
  </si>
  <si>
    <t xml:space="preserve">Question Base utilizes AI to provide instant verified answers to customer-facing teams in Slack, helping them close more deals and support tickets efficiently. </t>
  </si>
  <si>
    <t>SurveyMonkey
Genius</t>
  </si>
  <si>
    <t>https://www.surveymonkey.com/</t>
  </si>
  <si>
    <t xml:space="preserve">
create better surveys, gather high-quality responses, and uncover insights
quickly.</t>
  </si>
  <si>
    <t>Survicate</t>
  </si>
  <si>
    <t>https://web.survicate.com/app</t>
  </si>
  <si>
    <t>AI-powered survey tool for gathering feedback on SaaS products, websites, and user reviews.</t>
  </si>
  <si>
    <t>Grantable</t>
  </si>
  <si>
    <t>AI-powered grant writing software that helps you get funding for your organization</t>
  </si>
  <si>
    <t>Grants</t>
  </si>
  <si>
    <t>Crew</t>
  </si>
  <si>
    <t>https://www.trycrew.ai/</t>
  </si>
  <si>
    <t>Streamline interview processes, ensure compliance, and seamlessly onboard top engineers with matching skills.</t>
  </si>
  <si>
    <t xml:space="preserve">Hiring </t>
  </si>
  <si>
    <t>Hollyhires AI</t>
  </si>
  <si>
    <t>Automate your hiring process with AI. Search, vet, reach out and interview candidates at scale.</t>
  </si>
  <si>
    <t>Hiring - automation</t>
  </si>
  <si>
    <t>Nexa AI</t>
  </si>
  <si>
    <t>Inventory to discover the best AI tools in 200+ categories.</t>
  </si>
  <si>
    <t>Inventory for AI tools</t>
  </si>
  <si>
    <t>Final Round</t>
  </si>
  <si>
    <t xml:space="preserve">Provides real-time transcription and contextual assistance during online interviews </t>
  </si>
  <si>
    <t xml:space="preserve">Language - transciprions </t>
  </si>
  <si>
    <t>Waffle</t>
  </si>
  <si>
    <t>https://waffle.ai/</t>
  </si>
  <si>
    <t>Language learning - speaking with AI</t>
  </si>
  <si>
    <t>tus notas dicen: No-code app development with backend features, pero no encuentro eso</t>
  </si>
  <si>
    <t>Language learning</t>
  </si>
  <si>
    <t>Llama (by Nvidida)</t>
  </si>
  <si>
    <t xml:space="preserve">https://build.nvidia.com/ </t>
  </si>
  <si>
    <t>Improved Llama (on top of)</t>
  </si>
  <si>
    <t>Language model</t>
  </si>
  <si>
    <t>Zamba</t>
  </si>
  <si>
    <t xml:space="preserve"> Zamba2-7B</t>
  </si>
  <si>
    <t xml:space="preserve"> Zyphra has released, a state-of-the-art small language model</t>
  </si>
  <si>
    <t>Language Model</t>
  </si>
  <si>
    <t>Speechmatics</t>
  </si>
  <si>
    <t>A speech-to-text API to transcribe, translate, and understand the spoken word in 45+ languages.</t>
  </si>
  <si>
    <t>Language Model - Transcribe, translate</t>
  </si>
  <si>
    <t>GrowEasy</t>
  </si>
  <si>
    <t xml:space="preserve">Creates lead generation campaigns on Facebook and Instagram </t>
  </si>
  <si>
    <t>Lead management</t>
  </si>
  <si>
    <t>Pictory</t>
  </si>
  <si>
    <t>Generate more leads and boost sales by turning any content into highly shareable videos using AI.</t>
  </si>
  <si>
    <t>Contact</t>
  </si>
  <si>
    <t>https://contactout.com/</t>
  </si>
  <si>
    <t>Find emails &amp; phone for 300M professionals, and contact campaings with AI, linkedin integration</t>
  </si>
  <si>
    <t>Lead/ Sales Generation</t>
  </si>
  <si>
    <t>Apollo</t>
  </si>
  <si>
    <t>https://www.apollo.io/</t>
  </si>
  <si>
    <t>Find leads, run outreach campaigns, and track performance in one place.</t>
  </si>
  <si>
    <t>Leads management</t>
  </si>
  <si>
    <t>Zaplify AI</t>
  </si>
  <si>
    <t>Finds and engages prospects for you automatically so that you can focus on selling.</t>
  </si>
  <si>
    <t>Blaze</t>
  </si>
  <si>
    <t>https://www.withblaze.app/</t>
  </si>
  <si>
    <t>Find people on social media via specirfic targets (like "follows IAM") and then reach out individually + respond with a chat bot. Growing target list</t>
  </si>
  <si>
    <t>Leads/ Sales Generation</t>
  </si>
  <si>
    <t>BrandWell</t>
  </si>
  <si>
    <t>https://brandwell.ai/</t>
  </si>
  <si>
    <t>Caputres visitors to your website and sends you who they are and all their contact details with no need to opt in! Captures about 1/3. US visitors only</t>
  </si>
  <si>
    <t>Lasso</t>
  </si>
  <si>
    <t>https://www.lasso.ai/</t>
  </si>
  <si>
    <t>platform indexing every business with a website, LinkedIn page, and at least one employee. Get MASSIVE databases of contacts</t>
  </si>
  <si>
    <t>I Have a User - Havent had time. Get more contacts for Moving tech Ai!</t>
  </si>
  <si>
    <t>ProfessorAI</t>
  </si>
  <si>
    <t>https://professorai.co/</t>
  </si>
  <si>
    <t>An advanced AI tutor offering personalized assistance for
standardized tests and advanced courses.</t>
  </si>
  <si>
    <t xml:space="preserve">Learning </t>
  </si>
  <si>
    <t>EverLearns</t>
  </si>
  <si>
    <t>https://everlearns.com/</t>
  </si>
  <si>
    <t>Generate courses in minutes. AI-powered tool for educators,
content creators, and parents.</t>
  </si>
  <si>
    <t>Learning - courses</t>
  </si>
  <si>
    <t>Coursebox</t>
  </si>
  <si>
    <t>Design a course structure and then rapidly build your course content in under one hour with AI.</t>
  </si>
  <si>
    <t>Learning / course creation</t>
  </si>
  <si>
    <t>Contract AI</t>
  </si>
  <si>
    <t>https://contract-ai-mu.vercel.app/</t>
  </si>
  <si>
    <t>AI platform to help you analyze, understand, and manage your contracts with ease.</t>
  </si>
  <si>
    <t>Legal - Document Analysis</t>
  </si>
  <si>
    <t>Valley</t>
  </si>
  <si>
    <t xml:space="preserve">	
https://joinvalley.co/</t>
  </si>
  <si>
    <t>LinkedIn automated outreach</t>
  </si>
  <si>
    <t>Linkedin</t>
  </si>
  <si>
    <t>Akool</t>
  </si>
  <si>
    <t>https://akool.com/</t>
  </si>
  <si>
    <t>AI platform for personalized visual marketing
helping creators build engaging brand experiences that convert customers.</t>
  </si>
  <si>
    <t>Marketing</t>
  </si>
  <si>
    <t>Kick</t>
  </si>
  <si>
    <t>https://www.kick.co/</t>
  </si>
  <si>
    <t>Accounting service, possibly US only, works with one currency.</t>
  </si>
  <si>
    <t>Narrative BI</t>
  </si>
  <si>
    <t>https://www.narrative.bi/</t>
  </si>
  <si>
    <t>Consolidates insights from your
marketing and advertising data in one
convenient location, without requiring any coding skills.</t>
  </si>
  <si>
    <t>Smartly</t>
  </si>
  <si>
    <t>https://www.smartly.io/</t>
  </si>
  <si>
    <t>Achieve better marketing campaign performance and business results with a single workflow using AI.</t>
  </si>
  <si>
    <t>CreativAI</t>
  </si>
  <si>
    <t>https://www.creativai.io/</t>
  </si>
  <si>
    <t>Generates ads, emails, social media posts, and more.</t>
  </si>
  <si>
    <t xml:space="preserve">Marketing </t>
  </si>
  <si>
    <t>FounderPal.ai</t>
  </si>
  <si>
    <t>https://founderpal.ai/</t>
  </si>
  <si>
    <t>AI assistant that generates marketing content like blog articles, business plans, and SWOT analyses.</t>
  </si>
  <si>
    <t>Roadway</t>
  </si>
  <si>
    <t>https://www.roadwayai.com/</t>
  </si>
  <si>
    <t>Growth marketing platform for analytics and automation</t>
  </si>
  <si>
    <t>Stori AI</t>
  </si>
  <si>
    <t>https://www.storiai.com/</t>
  </si>
  <si>
    <t>Create and publish branded content effortlessly. Reach your audience across multiple channels and make a lasting impression.</t>
  </si>
  <si>
    <t>Tailwind</t>
  </si>
  <si>
    <t>https://www.tailwindapp.com/</t>
  </si>
  <si>
    <t>Get ready-to-post marketing copy created for you instantly.</t>
  </si>
  <si>
    <t>Viable</t>
  </si>
  <si>
    <t>Turn user insights into actionable strategies effortlessly with Viable’s generative analysis.</t>
  </si>
  <si>
    <t>Scade AI</t>
  </si>
  <si>
    <t xml:space="preserve">Develop products and services, streamline your business processes, marketing, sales and finance with AI </t>
  </si>
  <si>
    <t>Marketing / Business</t>
  </si>
  <si>
    <t>Clearword</t>
  </si>
  <si>
    <t>Create summary notes and complete actions live during your calls.</t>
  </si>
  <si>
    <t>Meeting - notes and summaries</t>
  </si>
  <si>
    <t>Fathom</t>
  </si>
  <si>
    <t xml:space="preserve">	
fathom.video</t>
  </si>
  <si>
    <t>AI meeting summaries, call transcriptions. Free version is very useful</t>
  </si>
  <si>
    <t>Fireflies AI</t>
  </si>
  <si>
    <t>https://fireflies.ai/</t>
  </si>
  <si>
    <t>Transcribe, summarize, search, and analyze voice conversations. Free or 10 per month</t>
  </si>
  <si>
    <t>MeetGeek</t>
  </si>
  <si>
    <t>https://meetgeek.ai/</t>
  </si>
  <si>
    <t>Automatically records, transcribes, summarizes, and shares insights from meetings, integrating with various tools. Free or 15/29 for subscriptions</t>
  </si>
  <si>
    <t>Nutria</t>
  </si>
  <si>
    <t>https://otter.ai/</t>
  </si>
  <si>
    <t>captura y comparte ideas de tus reuniones</t>
  </si>
  <si>
    <t>SpinachAI</t>
  </si>
  <si>
    <t>https://www.spinach.ai/</t>
  </si>
  <si>
    <t>Meeting notes, with action items, keeps the agenda, can create tickets. Can pay per hour  (3.00)or per month (19.00). Free version available - which is good enough</t>
  </si>
  <si>
    <t>tl;dv</t>
  </si>
  <si>
    <t>Transcribe, summarize, and mark key moments in your calls in 20+ languages.</t>
  </si>
  <si>
    <t>Byrdhouse AI</t>
  </si>
  <si>
    <t>https://byrdhouseapp.com/</t>
  </si>
  <si>
    <t>Real-time voice translation and captioning in over 100 languages for meetings</t>
  </si>
  <si>
    <t>Meetings</t>
  </si>
  <si>
    <t>AI Menti Builder</t>
  </si>
  <si>
    <t>https://www.mentimeter.com/</t>
  </si>
  <si>
    <t>interactive session slides with polls, Q&amp;A, feedbback collector. A meeting tool, like Miro but on slides. Make meetings more interactive with a board</t>
  </si>
  <si>
    <t>Registred and then gave up - thought it was a power point</t>
  </si>
  <si>
    <t>Meetings - Board</t>
  </si>
  <si>
    <t>Huudle AI</t>
  </si>
  <si>
    <t>https://www.huudle.io/</t>
  </si>
  <si>
    <t>An account management assistant for marketing agencies. Could be used for UI designers. It is like a CRM with meeting notes, syncs to FIGMA, can share updates with clients, etc. Manage a design roject with the client</t>
  </si>
  <si>
    <t>Meetings - Board (Client)</t>
  </si>
  <si>
    <t>Metaview</t>
  </si>
  <si>
    <t>https://www.metaview.ai/</t>
  </si>
  <si>
    <t>Automated, AI-generated note taking for recruiters and interviewers.</t>
  </si>
  <si>
    <t>Meetings - Notes and summaries</t>
  </si>
  <si>
    <t>Rebase</t>
  </si>
  <si>
    <t>https://www.movingto.io/</t>
  </si>
  <si>
    <t>Immigration-as-a-service to get legal and tax residency in remote work-friendly countries. Useful for Movers customers</t>
  </si>
  <si>
    <t>Moving App</t>
  </si>
  <si>
    <t>Albus</t>
  </si>
  <si>
    <t>https://albus.org/</t>
  </si>
  <si>
    <t>Albus is a platform that gathers all your research and information in 
one organized place.</t>
  </si>
  <si>
    <t>Organization</t>
  </si>
  <si>
    <t>Memory Twin</t>
  </si>
  <si>
    <t>Memorize, categorize, and organize your thoughts all in one place.</t>
  </si>
  <si>
    <t xml:space="preserve">Organization  </t>
  </si>
  <si>
    <t>CopyMonkey</t>
  </si>
  <si>
    <t>http://copymonkey.ai/</t>
  </si>
  <si>
    <t>Crea listados de Amazon en segundos</t>
  </si>
  <si>
    <t xml:space="preserve">Organization - lists </t>
  </si>
  <si>
    <t>Read.ai</t>
  </si>
  <si>
    <t>https://www.read.ai/</t>
  </si>
  <si>
    <t>meetings, emails, and messages with summaries, content discovery, and recommendations. Summarizes emails, but not exactly like Fyxer. Free to 23 per month</t>
  </si>
  <si>
    <t>Organizer - Meetings</t>
  </si>
  <si>
    <t>timeOS</t>
  </si>
  <si>
    <t>https://www.timeos.ai/</t>
  </si>
  <si>
    <t>provides relevant context. captures and summarizes your day, organizes all relevant information, and surfaces the knowledge you need, when you need it for meetings, including Gmail, meeting notes, and LinkedIn. Can send your AI bot to meetings</t>
  </si>
  <si>
    <t>Motion</t>
  </si>
  <si>
    <t>https://www.usemotion.com/</t>
  </si>
  <si>
    <t>Automatic planner of all tasks and calendar. Project management, team collab, meeting scheduling link</t>
  </si>
  <si>
    <t>Organizers</t>
  </si>
  <si>
    <t>NotebookLM</t>
  </si>
  <si>
    <t>https://notebooklm.google/</t>
  </si>
  <si>
    <t>Summarize PDFs, websites, YouTube videos, audio files, Google Docs, or Google Slides</t>
  </si>
  <si>
    <t>Peek</t>
  </si>
  <si>
    <t>https://www.gopeek.ai/</t>
  </si>
  <si>
    <t>Workspace with an AI-powered autopilot system that automatically organizes
and summarizes browser tabs. Available for macOS.</t>
  </si>
  <si>
    <t>Reclaim</t>
  </si>
  <si>
    <t>Schedule and automate your meetings, tasks, habits, and breaks. Like Motion, but simpler</t>
  </si>
  <si>
    <t>Twos</t>
  </si>
  <si>
    <t>https://www.twosapp.com/</t>
  </si>
  <si>
    <t>Like Motion, but more on a basic to do reminders, like shopping lsits. Basic is for free, then it has some very low cost subscriptions</t>
  </si>
  <si>
    <t>An alternative to Motion</t>
  </si>
  <si>
    <t>Riffo</t>
  </si>
  <si>
    <t>https://riffo.ai/</t>
  </si>
  <si>
    <t>File organization with
intelligent renaming, batch processing, and efficient workspace management.</t>
  </si>
  <si>
    <t>Organizers - Documents</t>
  </si>
  <si>
    <t>Amie</t>
  </si>
  <si>
    <t>https://amie.so/</t>
  </si>
  <si>
    <t>Todos, email, and calendar combined with an AI assistant to enhance productivity. It puts emails to reply in calendar</t>
  </si>
  <si>
    <t>Organizers - Emails</t>
  </si>
  <si>
    <t>Extra Thursday</t>
  </si>
  <si>
    <t>https://www.extrathursday.app/</t>
  </si>
  <si>
    <t>help you draft, organize, and respond to emails</t>
  </si>
  <si>
    <t>Fyxer AI</t>
  </si>
  <si>
    <t>https://www.fyxer.ai/</t>
  </si>
  <si>
    <t>AI tool that drafts extraordinary emails, organizes your inbox, and takes meeting notes in your tone of voice.</t>
  </si>
  <si>
    <t>Errors, Not cost effective, Need to test others</t>
  </si>
  <si>
    <t>LaterOn</t>
  </si>
  <si>
    <t>https://lateron.email/</t>
  </si>
  <si>
    <t>Email organizer for newsletters. inbox buffer for managing newsletter subscriptions. Summarizes weekly or monthly all newsletters you subscribe to</t>
  </si>
  <si>
    <t>Magic Composer</t>
  </si>
  <si>
    <t>https://inboxpro.io/</t>
  </si>
  <si>
    <t>Like Fyxer (email automation)</t>
  </si>
  <si>
    <t>Proton Scribe</t>
  </si>
  <si>
    <t>https://proton.me/</t>
  </si>
  <si>
    <t xml:space="preserve">With Proton Scribe, save time and protect your business data by reducing AI assistant exposure when writing emails. </t>
  </si>
  <si>
    <t>Shortwave</t>
  </si>
  <si>
    <t>https://www.shortwave.com/</t>
  </si>
  <si>
    <t>Searches your entire email history, writes drafts in your voice, schedules meetings. Like Fyxer, minus the meeting assistant and only works with Gmail/ Google workspace. Much cheaper though</t>
  </si>
  <si>
    <t>SkimAI</t>
  </si>
  <si>
    <t>https://skim.page/</t>
  </si>
  <si>
    <t>Spark</t>
  </si>
  <si>
    <t>https://sparkmailapp.com/</t>
  </si>
  <si>
    <t>Superhuman</t>
  </si>
  <si>
    <t>https://superhuman.com/</t>
  </si>
  <si>
    <t>Dripify</t>
  </si>
  <si>
    <t>LinkedIn automation tool designed to help your sales team improve LinkedIn prospecting and close more deals.</t>
  </si>
  <si>
    <t>Outreach - Sales Automation</t>
  </si>
  <si>
    <t>PageOn</t>
  </si>
  <si>
    <t>https://www.pageon.ai/</t>
  </si>
  <si>
    <t xml:space="preserve">Presentation maker </t>
  </si>
  <si>
    <t>Presentations</t>
  </si>
  <si>
    <t>Pitch</t>
  </si>
  <si>
    <t>https://pitch.com/</t>
  </si>
  <si>
    <t>Presentation software review</t>
  </si>
  <si>
    <t>Everse</t>
  </si>
  <si>
    <t>https://www.eververse.ai/</t>
  </si>
  <si>
    <t xml:space="preserve">Product manager tool - roadmaps, Ideation, feedback sharing and collection </t>
  </si>
  <si>
    <t>Product Management</t>
  </si>
  <si>
    <t>DeepWork</t>
  </si>
  <si>
    <t>https://www.deepwork.fit/</t>
  </si>
  <si>
    <t>App that uses AI to keep distractions away and help you focus on your productivity goals.</t>
  </si>
  <si>
    <t>Productivity</t>
  </si>
  <si>
    <t>FocusBuddy</t>
  </si>
  <si>
    <t xml:space="preserve">	
https://app.focusbuddy.ai/</t>
  </si>
  <si>
    <t>Tool to boost concentration and accountability</t>
  </si>
  <si>
    <t>InSummary*</t>
  </si>
  <si>
    <t xml:space="preserve">AI-powered status updates and performance reviews for free </t>
  </si>
  <si>
    <t xml:space="preserve">Productivity </t>
  </si>
  <si>
    <t>Kittl</t>
  </si>
  <si>
    <t>Speed up your workflows with AI-powered design tools and gain instant access to a ton of stunning illustrations, fonts, photos, icons, and textures.</t>
  </si>
  <si>
    <t>Sharly</t>
  </si>
  <si>
    <t>Summarize long documents and simplify complex PDFs using AI.</t>
  </si>
  <si>
    <t xml:space="preserve">Productivity - summarize </t>
  </si>
  <si>
    <t>Codara</t>
  </si>
  <si>
    <t>Review your code and diagnose errors using AI.</t>
  </si>
  <si>
    <t xml:space="preserve">Programing </t>
  </si>
  <si>
    <t>Codebay</t>
  </si>
  <si>
    <t>Learn Python easily with fun, interactive lessons and your own AI coding tutor.</t>
  </si>
  <si>
    <t>McAnswers</t>
  </si>
  <si>
    <t>Coding - Get refined responses, a comprehensive prompt library, and a library of synthesizing errors. </t>
  </si>
  <si>
    <t>Source AI</t>
  </si>
  <si>
    <t>Generate code for programming in any language with AI.</t>
  </si>
  <si>
    <t>Briefer</t>
  </si>
  <si>
    <t>https://briefer.cloud/</t>
  </si>
  <si>
    <t>Intelligent data analysis agent with step-by-step review</t>
  </si>
  <si>
    <t>GitHub</t>
  </si>
  <si>
    <t>https://github.com/</t>
  </si>
  <si>
    <t>Provides AI and automation tools to build software</t>
  </si>
  <si>
    <t>Open source competitor to Yembo</t>
  </si>
  <si>
    <t>Programing / Automation</t>
  </si>
  <si>
    <t>AppFlowy.IO</t>
  </si>
  <si>
    <t>https://appflowy.io/</t>
  </si>
  <si>
    <t>AppFlowy is an AI-powered collaborative workspace that empowers you to
achieve more while maintaining control of your data.</t>
  </si>
  <si>
    <t>Project Management</t>
  </si>
  <si>
    <t>Asana AI
Teammate</t>
  </si>
  <si>
    <t>https://asana.com/</t>
  </si>
  <si>
    <t>automate tasks, orchestrate workflows, and provide data-driven insights</t>
  </si>
  <si>
    <t>Capacities</t>
  </si>
  <si>
    <t>https://capacities.io/</t>
  </si>
  <si>
    <t>A powerful note-taking tool that helps you organize and connect your
ideas effortlessly.</t>
  </si>
  <si>
    <t>Cassidy</t>
  </si>
  <si>
    <t>https://www.cassidyai.com/</t>
  </si>
  <si>
    <t>Create customized AI-assistants to streamline tasks, enhance productivity,
and adopt AI across your organization.</t>
  </si>
  <si>
    <t>Clickup</t>
  </si>
  <si>
    <t>https://clickup.com/brain</t>
  </si>
  <si>
    <t>connect your organization's people, work, and knowledge.</t>
  </si>
  <si>
    <t>Project management</t>
  </si>
  <si>
    <t>Collab</t>
  </si>
  <si>
    <t>Manage projects, plan campaigns, generate to-do lists, and craft blog outlines in record time with AI.</t>
  </si>
  <si>
    <t>Cubby</t>
  </si>
  <si>
    <t>https://cubby.nyc</t>
  </si>
  <si>
    <t>extracting and analyzing content from the internet or your device.</t>
  </si>
  <si>
    <t>Dart</t>
  </si>
  <si>
    <t>https://www.itsdart.com/</t>
  </si>
  <si>
    <t>eliminate regular PM chores</t>
  </si>
  <si>
    <t>Fibery</t>
  </si>
  <si>
    <t>https://fibery.io/</t>
  </si>
  <si>
    <t>Unify product discovery and development. Analyze user feedback, extract key
insights, track progress.</t>
  </si>
  <si>
    <t>Gobii</t>
  </si>
  <si>
    <t>https://gobii.ai/</t>
  </si>
  <si>
    <t>Automate tasks and web workflows</t>
  </si>
  <si>
    <t>Height</t>
  </si>
  <si>
    <t>https://height.app/</t>
  </si>
  <si>
    <t>The project management similar to Jira but with AI automation.</t>
  </si>
  <si>
    <t>Howsthisgoing</t>
  </si>
  <si>
    <t>https://howsthisgoing.com/</t>
  </si>
  <si>
    <t>Slack automated bot to checkin on project status (an atuomated daily standatup). Also github connected</t>
  </si>
  <si>
    <t>Huly</t>
  </si>
  <si>
    <t>https://huly.io/</t>
  </si>
  <si>
    <t>Open-source platform that combines the functionalities of Linear, Jira, Slack, and Notion.</t>
  </si>
  <si>
    <t>Midday</t>
  </si>
  <si>
    <t>https://midday.ai/</t>
  </si>
  <si>
    <t>An all-in-one solution for freelancers and small businesses.
Monitor finances, track projects, store files, and send invoices effortlessly.</t>
  </si>
  <si>
    <t>Miro Intelligent
Canvas</t>
  </si>
  <si>
    <t>https://miro.com/</t>
  </si>
  <si>
    <t>Enhances team collaboration and 
productivity</t>
  </si>
  <si>
    <t>Missive</t>
  </si>
  <si>
    <t>https://missiveapp.com/</t>
  </si>
  <si>
    <t>Email, group chat, and task management for productive teams.</t>
  </si>
  <si>
    <t>Notion</t>
  </si>
  <si>
    <t>https://www.notion.so/</t>
  </si>
  <si>
    <t>et answers to your
urgent questions, using info across your wiki, projects &amp; docs.</t>
  </si>
  <si>
    <t>PaceAI</t>
  </si>
  <si>
    <t>https://paceai.co/</t>
  </si>
  <si>
    <t xml:space="preserve">Language learning for ESL workers </t>
  </si>
  <si>
    <t>PMI Infinity</t>
  </si>
  <si>
    <t>https://www.pmi.org/</t>
  </si>
  <si>
    <t>AI Personal Assistant for Project Professionals. Enhance your project
management practice with AI-powered tools and resources.</t>
  </si>
  <si>
    <t>QueryPal</t>
  </si>
  <si>
    <t>https://www.querypal.com</t>
  </si>
  <si>
    <t>Discover the power of instant, AI-powered answers, automated reports, and
seamless communication within Slack or Teams.</t>
  </si>
  <si>
    <t>Reliv</t>
  </si>
  <si>
    <t>https://reliv.ai/</t>
  </si>
  <si>
    <t xml:space="preserve">Automate your web service 
end-to-end tests  </t>
  </si>
  <si>
    <t>Shram</t>
  </si>
  <si>
    <t>https://www.shram.io</t>
  </si>
  <si>
    <t>A work management tool that streamlines project and performance management,
bringing people and work together.</t>
  </si>
  <si>
    <t>Squad</t>
  </si>
  <si>
    <t>https://meetsquad.ai/</t>
  </si>
  <si>
    <t>Squad, an AI-assisted product strategy tool, addresses both business and
customer needs.</t>
  </si>
  <si>
    <t>Supademo</t>
  </si>
  <si>
    <t>https://supademo.com/</t>
  </si>
  <si>
    <t>Create interactive product demos with AI.</t>
  </si>
  <si>
    <t>Tars Copilot</t>
  </si>
  <si>
    <t>https://www.tarscopilot.com/</t>
  </si>
  <si>
    <t>Tars Copilot helps you and your teammates organize work with
project management co-pilot</t>
  </si>
  <si>
    <t>TeamCreate</t>
  </si>
  <si>
    <t>https://www.teamcreate.ai/</t>
  </si>
  <si>
    <t>Create versatile AI workers for various roles in Finance, Sales, Product,
Marketing, and more.</t>
  </si>
  <si>
    <t>Tegon</t>
  </si>
  <si>
    <t>https://www.tegon.ai/</t>
  </si>
  <si>
    <t>automates manual
tasks, provides contextual information, and aids in faster task completion for
engineering teams.</t>
  </si>
  <si>
    <t>Userdoc</t>
  </si>
  <si>
    <t>https://userdoc.fyi/</t>
  </si>
  <si>
    <t>Quickly scope projects with Userdocs' AI, which transforms requirements
into long-term documentation.</t>
  </si>
  <si>
    <t>Walling</t>
  </si>
  <si>
    <t>https://walling.app/</t>
  </si>
  <si>
    <t>generates ideas, tasks,
images, tables, and all the content you need to organize and manage
your work.</t>
  </si>
  <si>
    <t>Zeda</t>
  </si>
  <si>
    <t>https://zeda.io/</t>
  </si>
  <si>
    <t>AI Copilot for Product Teams to transform customer feedback into actionable
insights for building impactful products.</t>
  </si>
  <si>
    <t>GPT Prompting (mitenmit.github.io)</t>
  </si>
  <si>
    <t>Promting tool</t>
  </si>
  <si>
    <t>Prompts</t>
  </si>
  <si>
    <t>Readbay AI</t>
  </si>
  <si>
    <t xml:space="preserve">Reading calendar and personalized suggestions </t>
  </si>
  <si>
    <t xml:space="preserve">Reading </t>
  </si>
  <si>
    <t>GoSearch</t>
  </si>
  <si>
    <t>Search all company resources in seconds with multimodal generative AI-powered enterprise search.</t>
  </si>
  <si>
    <t>Research</t>
  </si>
  <si>
    <t>Imagetwin</t>
  </si>
  <si>
    <t>An AI-based software for detecting integrity issues in figures of scientific articles.</t>
  </si>
  <si>
    <t>Inquisite.ai</t>
  </si>
  <si>
    <t>https://inquisite.ai/</t>
  </si>
  <si>
    <t>AI tool focused more on in-depth research than basic searches, similar to Perplexity AI.</t>
  </si>
  <si>
    <t>OpenRead</t>
  </si>
  <si>
    <t>https://www.openread.academy/</t>
  </si>
  <si>
    <t>A scientific paper reader powered by AI, including a paper summary
by section, full-text summary, and Q&amp;A.</t>
  </si>
  <si>
    <t>Otio</t>
  </si>
  <si>
    <t>https://otio.ai/</t>
  </si>
  <si>
    <t>AI-powered research and writing partner, designed to enhance
your learning and productivity.</t>
  </si>
  <si>
    <t>Rose AI</t>
  </si>
  <si>
    <t>https://rose.ai/</t>
  </si>
  <si>
    <t>Revolutionize industry tasks with AI: analytics, NLP, custom models,
seamless integration.</t>
  </si>
  <si>
    <t>LogicBalls</t>
  </si>
  <si>
    <t>Customize high-quality, engaging content 10x faster.</t>
  </si>
  <si>
    <t>Research - customers</t>
  </si>
  <si>
    <t>Strella</t>
  </si>
  <si>
    <t>https://www.strella.io/</t>
  </si>
  <si>
    <t>AI-powered customer insights tool for product research, Figma designs, and A/B testing.</t>
  </si>
  <si>
    <t>CapGo AI</t>
  </si>
  <si>
    <t>Gather vast web information into spreadsheets in seconds.</t>
  </si>
  <si>
    <t>Research - market</t>
  </si>
  <si>
    <t>Osum</t>
  </si>
  <si>
    <t xml:space="preserve">perform deep market research in seconds. </t>
  </si>
  <si>
    <t>Penny AI</t>
  </si>
  <si>
    <t xml:space="preserve">Read product details and reviews, compare prices, automate pros and cons analysis to help you shop smarter </t>
  </si>
  <si>
    <t>Research - products</t>
  </si>
  <si>
    <t>Linnk AI</t>
  </si>
  <si>
    <t>Skim any website and get Instant insights. Navigate directly to your point of interest with just one click using AI.</t>
  </si>
  <si>
    <t>Research - websites</t>
  </si>
  <si>
    <t>Tely AI</t>
  </si>
  <si>
    <t>https://www.tely.ai/</t>
  </si>
  <si>
    <t>AI tool for researching and writing expert-level SEO content that drives conversions.</t>
  </si>
  <si>
    <t>Research / SEO</t>
  </si>
  <si>
    <t>Frase AI</t>
  </si>
  <si>
    <t>Research, write, and optimize high-quality SEO content quickly and painlessly using AI.</t>
  </si>
  <si>
    <t>Research, SEO</t>
  </si>
  <si>
    <t>Canyon</t>
  </si>
  <si>
    <t>https://www.usecanyon.com/</t>
  </si>
  <si>
    <t>Resume building,
application tracking, and interview preparation.</t>
  </si>
  <si>
    <t xml:space="preserve">Resume building / job application </t>
  </si>
  <si>
    <t>Reanudado</t>
  </si>
  <si>
    <t>https://lnkd.in/d9EurcnX</t>
  </si>
  <si>
    <t>Mejora tu currículum y perfil de LinkedIn</t>
  </si>
  <si>
    <t xml:space="preserve">Wized.AI </t>
  </si>
  <si>
    <t>https://wized.ai/</t>
  </si>
  <si>
    <t>Create your perfect resume with AI. This tool makes professional CV
creation effortless.</t>
  </si>
  <si>
    <t>Persana AI</t>
  </si>
  <si>
    <t>https://persana.ai/</t>
  </si>
  <si>
    <t>Combines data sources, real-time
intent signals, and personalized generative AI messaging to enhance
revenue generation for GTM teams.</t>
  </si>
  <si>
    <t>Revenue generation</t>
  </si>
  <si>
    <t>Zaplify</t>
  </si>
  <si>
    <t xml:space="preserve"> Zaplify</t>
  </si>
  <si>
    <t>Find key decision makers, reach out automatically, and get actionable insights, eliminating manual and repetitive sales processes</t>
  </si>
  <si>
    <t>Sales</t>
  </si>
  <si>
    <t>Cisero/Munger</t>
  </si>
  <si>
    <t>ciseroautomation.com / https://munger.ai</t>
  </si>
  <si>
    <t>Reach over 70,000 targeted prospects daily</t>
  </si>
  <si>
    <t>Ayraa AI</t>
  </si>
  <si>
    <t>Your personal search engine and knowledge assistant at work. Connects with Slack and your web browser and organizes everything you do at work.</t>
  </si>
  <si>
    <t>Search</t>
  </si>
  <si>
    <t>iAsk</t>
  </si>
  <si>
    <t xml:space="preserve">	
iask.ai</t>
  </si>
  <si>
    <t>AI search engine offering instant factual answers</t>
  </si>
  <si>
    <t>SEO</t>
  </si>
  <si>
    <t>Relixir (YC X25)</t>
  </si>
  <si>
    <t>https://relixir.ai/</t>
  </si>
  <si>
    <t>Generative Engine Optimization</t>
  </si>
  <si>
    <t>Searchable</t>
  </si>
  <si>
    <t>https://www.searchable.com/</t>
  </si>
  <si>
    <t>Track your brand mentions across ChatGPT, Claude, Perplexity and see where you rank in AI-powered search. Visibility &amp; Analytics from AI Search — and the actions to drive growth</t>
  </si>
  <si>
    <t>Semrush</t>
  </si>
  <si>
    <t>https://www.semrush.com/</t>
  </si>
  <si>
    <t xml:space="preserve">AI agent updates, posts, and replies, so you show up in Google and AI assistants and win more local customers </t>
  </si>
  <si>
    <t>Hypotenuse</t>
  </si>
  <si>
    <t xml:space="preserve"> Hypotenuse AI</t>
  </si>
  <si>
    <t>Write SEO-optimized blog posts, product descriptions, social media copy, and more with AI.</t>
  </si>
  <si>
    <t xml:space="preserve">SEO </t>
  </si>
  <si>
    <t>Sequens.ai</t>
  </si>
  <si>
    <t>https://www.sequens.ai/</t>
  </si>
  <si>
    <t>Provide value on all channels, harness fine-tuned AI and expert SEO,
Social, and Lead Gen reviews to boost your lead pipeline effortlessly.</t>
  </si>
  <si>
    <t>AE Studio</t>
  </si>
  <si>
    <t>https://ae.studio/</t>
  </si>
  <si>
    <t>AE Studio is an agency group that aims to find the best possible solution
between clients and customers that align with their values and goals.</t>
  </si>
  <si>
    <t>Software development / tech consultancy</t>
  </si>
  <si>
    <t>Audio Note AI</t>
  </si>
  <si>
    <t>Convert your thoughts and audio into professional text</t>
  </si>
  <si>
    <t>speech to text</t>
  </si>
  <si>
    <t>Deepgram*</t>
  </si>
  <si>
    <t>Speech-to-Text, Text-to-Speech, and Voice Agent APIs.</t>
  </si>
  <si>
    <t>Speech to text</t>
  </si>
  <si>
    <t>Letterly</t>
  </si>
  <si>
    <t>Turn your speech into well-written text.</t>
  </si>
  <si>
    <t>TubeOnAI</t>
  </si>
  <si>
    <t>Summarize and listen to any podcast in 30 seconds with AI.</t>
  </si>
  <si>
    <t>Bricks</t>
  </si>
  <si>
    <t>https://www.thebricks.com/</t>
  </si>
  <si>
    <t>AI powered excel</t>
  </si>
  <si>
    <t>Spreadsheets</t>
  </si>
  <si>
    <t>Equals</t>
  </si>
  <si>
    <t>https://equals.com/</t>
  </si>
  <si>
    <t>Write, edit, and fix SQL queries, formulas, charts, and more right inside your spreadsheet.</t>
  </si>
  <si>
    <t>Excelmatic</t>
  </si>
  <si>
    <t>https://excelmatic.ai/</t>
  </si>
  <si>
    <t>AI-Powered Excel Data Analysis and Visualization</t>
  </si>
  <si>
    <t>Paradigm</t>
  </si>
  <si>
    <t>https://www.paradigmai.com/</t>
  </si>
  <si>
    <t>AI agent for Excel to enrich data using web</t>
  </si>
  <si>
    <t>Rows</t>
  </si>
  <si>
    <t>https://rows.com/</t>
  </si>
  <si>
    <t>Spreadsheet-style web app with database and automation</t>
  </si>
  <si>
    <t>Shortcut</t>
  </si>
  <si>
    <t xml:space="preserve">	
https://www.tryshortcut.ai/</t>
  </si>
  <si>
    <t>Excel helper</t>
  </si>
  <si>
    <t>Stackby</t>
  </si>
  <si>
    <t>https://stackby.com/</t>
  </si>
  <si>
    <t>Spreadsheet and database integration via APIs</t>
  </si>
  <si>
    <t>Carousel</t>
  </si>
  <si>
    <t>https://usecarousel.com/</t>
  </si>
  <si>
    <t xml:space="preserve">Acquired. Off market. Will be an excel assistant. Was: Build complete models from scratch with minimal instructions excel Data analytics/dashboarding platform </t>
  </si>
  <si>
    <t>Spreadsheets - Excel assistant</t>
  </si>
  <si>
    <t>Causal</t>
  </si>
  <si>
    <t>https://www.causal.app/</t>
  </si>
  <si>
    <t>Causal replaces spreadsheets with an advanced modeling tool.
Connect to data sources, build models, and share dashboards effortlessly.</t>
  </si>
  <si>
    <t>Spreadsheets - Excel Replacement</t>
  </si>
  <si>
    <t>Numerous</t>
  </si>
  <si>
    <t>https://numerous.ai/</t>
  </si>
  <si>
    <t>Prompt ChatGPT in bulk, in your spreadsheets. Works with Excel and Sheets.</t>
  </si>
  <si>
    <t>Spreadsheets (plugin)</t>
  </si>
  <si>
    <t>OpenTask</t>
  </si>
  <si>
    <t>A talent marketplace that connects AI freelancers and business needs.</t>
  </si>
  <si>
    <t>Talent / Marketplace</t>
  </si>
  <si>
    <t>MeetCody</t>
  </si>
  <si>
    <t>https://meetcody.ai/</t>
  </si>
  <si>
    <t>Trainable AI assistant to organize your business processes, manage teams, and handle client information.</t>
  </si>
  <si>
    <t>Team communication - collaboration</t>
  </si>
  <si>
    <t>Papermark AI</t>
  </si>
  <si>
    <t>Document sharing and collaboration. Share pitch decks, sales proposals and other docs securely with real-time analytics and white-labeling options.</t>
  </si>
  <si>
    <t>Strut AI</t>
  </si>
  <si>
    <t>Quickly capture projects, notes, drafts, and more in collaborative workspaces powered by AI.</t>
  </si>
  <si>
    <t>Convo.ai</t>
  </si>
  <si>
    <t>https://getconvo.ai/</t>
  </si>
  <si>
    <t>AI platform for qualitative user research, analyzing and moderating the feedback process.</t>
  </si>
  <si>
    <t>Team Communication / Automation</t>
  </si>
  <si>
    <t>Klart AI</t>
  </si>
  <si>
    <t>AI assistant seamlessly integrated with Slack, Teams and Gmail.</t>
  </si>
  <si>
    <t>Sune</t>
  </si>
  <si>
    <t>Designed to help your team collaborate and automate workflows.</t>
  </si>
  <si>
    <t>Listening</t>
  </si>
  <si>
    <t>Listen to academic papers instead of reading them.</t>
  </si>
  <si>
    <t xml:space="preserve">Text to speech </t>
  </si>
  <si>
    <t>Speech-To-Note</t>
  </si>
  <si>
    <t>https://speechtonote.com/</t>
  </si>
  <si>
    <t>Speech to Note is an AI tool that effortlessly converts spoken words
into transcripts and summaries.</t>
  </si>
  <si>
    <t>Transcription</t>
  </si>
  <si>
    <t>TalkNotes</t>
  </si>
  <si>
    <t>https://talknotes.io/</t>
  </si>
  <si>
    <t>Turn hours of note taking into seconds. Record voice notes and let the
AI transcribe them into actionable text.</t>
  </si>
  <si>
    <t>BiRead</t>
  </si>
  <si>
    <t>https://www.biread.com/</t>
  </si>
  <si>
    <t>Transform any website content into bilingual text effortlessly with
AI-powered BiRead.</t>
  </si>
  <si>
    <t>Translation</t>
  </si>
  <si>
    <t>ServiceTitan</t>
  </si>
  <si>
    <t xml:space="preserve">	
servicetitan.com</t>
  </si>
  <si>
    <t>Leading platform in North America for HVAC, plumbing, and home services.</t>
  </si>
  <si>
    <t>USA field management software</t>
  </si>
  <si>
    <t>Monterrey</t>
  </si>
  <si>
    <t>Monterey</t>
  </si>
  <si>
    <t>Aggregate, triage, and analyze user feedback, tickets, conversations, and surveys with AI.</t>
  </si>
  <si>
    <t>User Feedback</t>
  </si>
  <si>
    <t>Elyos</t>
  </si>
  <si>
    <t>https://elyos.ai/</t>
  </si>
  <si>
    <t>AI Agent for service field industries</t>
  </si>
  <si>
    <t xml:space="preserve">New </t>
  </si>
  <si>
    <t>Voice Agent</t>
  </si>
  <si>
    <t>Paperclips</t>
  </si>
  <si>
    <t>https://www.paperclips.app/</t>
  </si>
  <si>
    <t>Chrome application that is seamlessly integrated into
your daily browsing and research.</t>
  </si>
  <si>
    <t>Web Browsing</t>
  </si>
  <si>
    <t>Pentory</t>
  </si>
  <si>
    <t>https://www.pentory.net/en/summary</t>
  </si>
  <si>
    <t>Summarize videos or long text on the web (paste the URL)</t>
  </si>
  <si>
    <t>SeyftAI</t>
  </si>
  <si>
    <t>https://www.seyftai.com/</t>
  </si>
  <si>
    <t xml:space="preserve">Multi-modal content moderation platform that filters harmful or irrelevant content across text, images, and videos. </t>
  </si>
  <si>
    <t>Buzzabout</t>
  </si>
  <si>
    <t>https://buzzabout.ai/</t>
  </si>
  <si>
    <t>Get AI-driven insights from billions of discussions on social media. (tiktok, youtube and reddit only)</t>
  </si>
  <si>
    <t>Web Browsing - Market Research</t>
  </si>
  <si>
    <t>AlphaSense</t>
  </si>
  <si>
    <t>https://www.alpha-sense.com/</t>
  </si>
  <si>
    <t>Instantly retrieves valuable insights from research documents</t>
  </si>
  <si>
    <t>Web Browsing - Research</t>
  </si>
  <si>
    <t>Firecrawl</t>
  </si>
  <si>
    <t>https://www.firecrawl.dev/</t>
  </si>
  <si>
    <t>Webcrawler - extra data and structure it - had some success trying free for MW wiki. Need more time</t>
  </si>
  <si>
    <t>Web Browsing - Web Crawling</t>
  </si>
  <si>
    <t>Browse AI</t>
  </si>
  <si>
    <t>No-code tool for extracting and monitoring website data.</t>
  </si>
  <si>
    <t>Hexowatch</t>
  </si>
  <si>
    <t>Monitor any website for visual, content, source code, technology, availability, or price changes with AI.</t>
  </si>
  <si>
    <t>10web</t>
  </si>
  <si>
    <t>https://10web.io/</t>
  </si>
  <si>
    <t>Create a website using AI Website Builder, host it on 10Web Hosting
and optimize it with PageSpeed Booster.</t>
  </si>
  <si>
    <t>Website creator</t>
  </si>
  <si>
    <t>Bolt</t>
  </si>
  <si>
    <t>https://bolt.new/</t>
  </si>
  <si>
    <t>App development from single prompts</t>
  </si>
  <si>
    <t>Musho</t>
  </si>
  <si>
    <t>https://musho.ai/</t>
  </si>
  <si>
    <t>Musho transforms your prompts into polished websites with simple layouts,
compelling copy, and stunning images.</t>
  </si>
  <si>
    <t>Website Creator</t>
  </si>
  <si>
    <t>WebWave</t>
  </si>
  <si>
    <t>https://webwave.me/</t>
  </si>
  <si>
    <t>Rapid AI-generated website builder</t>
  </si>
  <si>
    <t xml:space="preserve">Make </t>
  </si>
  <si>
    <t>https://www.make.com</t>
  </si>
  <si>
    <t>Task automation across apps</t>
  </si>
  <si>
    <t>Workflow Integrator</t>
  </si>
  <si>
    <t>n8n</t>
  </si>
  <si>
    <t>https://n8n.io/</t>
  </si>
  <si>
    <t>Open-source automation</t>
  </si>
  <si>
    <t>https://zapier.com/</t>
  </si>
  <si>
    <t>Integrations and automations</t>
  </si>
  <si>
    <t>Mindpal</t>
  </si>
  <si>
    <t>https://mindpal.space/</t>
  </si>
  <si>
    <t>Automate thousands of tasks with AI Agents.</t>
  </si>
  <si>
    <t>Vibe Code App</t>
  </si>
  <si>
    <t>https://www.vibecodeapp.com/</t>
  </si>
  <si>
    <t>From websites to apps, create professional-grade projects.</t>
  </si>
  <si>
    <t>Website and app creator</t>
  </si>
  <si>
    <t>AI agent platform that automates browser-based tasks</t>
  </si>
  <si>
    <t>Kimi</t>
  </si>
  <si>
    <t>https://www.kimi.com/</t>
  </si>
  <si>
    <t>File analysis (like PDFs and docs), web search, coding assistance, and multimodal tasks (text, images, video). Yes, those features are core to its functionality</t>
  </si>
  <si>
    <t>5 stars</t>
  </si>
  <si>
    <t>Glean</t>
  </si>
  <si>
    <t>Work AI platform that connects to enterprise data for AI-powered search, personalized assistants, and agents to automate workflows across apps and documents.</t>
  </si>
  <si>
    <t>Hey Lemon</t>
  </si>
  <si>
    <t>https://heylemon.ai/</t>
  </si>
  <si>
    <t>Turns your voice instructions into finished tasks</t>
  </si>
  <si>
    <t>GPT for Work</t>
  </si>
  <si>
    <t>https://gptforwork.com/</t>
  </si>
  <si>
    <t>Integrates AI models like ChatGPT and Claude directly into Google Sheets, Docs, Excel, and Word for bulk tasks such as content generation, data analysis, translation, web research, and formula creation.</t>
  </si>
  <si>
    <t>Open Interpreter</t>
  </si>
  <si>
    <t>https://www.openinterpreter.com/</t>
  </si>
  <si>
    <t xml:space="preserve">Desktop agent that can read, edit, and create documents on your computer. It includes full editors for Word, Excel, and PDF. </t>
  </si>
  <si>
    <t>Hyperagent</t>
  </si>
  <si>
    <t>https://www.hyperagent.com/</t>
  </si>
  <si>
    <t>Agents that automate complex browser tasks, integrate tools like shell and code execution, and manage agent fleets for enterprise workflows</t>
  </si>
  <si>
    <t>Workflow Automation</t>
  </si>
  <si>
    <t>Type</t>
  </si>
  <si>
    <t>Agent Builder</t>
  </si>
  <si>
    <t>Automate your web interactions</t>
  </si>
  <si>
    <t>Chat Agent (ChatGPT like)</t>
  </si>
  <si>
    <t>https://copilot.microsoft.com/</t>
  </si>
  <si>
    <t>https://monica.im/</t>
  </si>
  <si>
    <t>You.com</t>
  </si>
  <si>
    <t>Chat Agent (ChatGPT like) with access to multiple LLMs</t>
  </si>
  <si>
    <t>Storyblocker</t>
  </si>
  <si>
    <t>https://www.storyblocker.com/</t>
  </si>
  <si>
    <t>The world's most advanced mobile storyboarding tool. Create and light sets in
Augmented Reality and 3D before shooting.</t>
  </si>
  <si>
    <t>Content Generation - 3D</t>
  </si>
  <si>
    <t>Diagram Generator</t>
  </si>
  <si>
    <t>https://diagram-generator.com/</t>
  </si>
  <si>
    <t xml:space="preserve">Diagram / flow chart generator for free. </t>
  </si>
  <si>
    <t>Content Generation - Diagrams</t>
  </si>
  <si>
    <t>Adobe Firefly</t>
  </si>
  <si>
    <t>https://firefly.adobe.com/</t>
  </si>
  <si>
    <t>Adobe has been an AI company for over a decade, and it shows with its
custom AI art generator called Firefly. While you can use it online, it's now
being integrated directly into Adobe products like Express and Photoshop.</t>
  </si>
  <si>
    <t>Content Generation - Image &amp; Video Generator</t>
  </si>
  <si>
    <t>Presti</t>
  </si>
  <si>
    <t>https://www.presti.ai/</t>
  </si>
  <si>
    <t>AI-generated photos that enhance sales. From a single product image to
studio-quality visuals. Boost your product's appeal with stunning visuals.</t>
  </si>
  <si>
    <t>Prodia</t>
  </si>
  <si>
    <t>https://app.prodia.com/</t>
  </si>
  <si>
    <t>Another Stable Diffusion-based art generator, Prodia stands out by letting you
try all its models without having to sign up for an account.</t>
  </si>
  <si>
    <t>Craiyon</t>
  </si>
  <si>
    <t>https://www.craiyon.com/</t>
  </si>
  <si>
    <t>Craiyon (previously DALL·E Mini) is based on the original DALL·E model.
It's significantly more basic than the latest art generators, but it's free and
fun to play around with.</t>
  </si>
  <si>
    <t>DreamStudio</t>
  </si>
  <si>
    <t>https://dreamstudio.ai/</t>
  </si>
  <si>
    <t>DreamStudio is the official Stable Diffusion web app. It's pretty powerful,
so you can set how many steps the AI takes, what random seed it uses,
and loads of other customizations. It's also got a free trial, which is nice.</t>
  </si>
  <si>
    <t>WOMBO Dream</t>
  </si>
  <si>
    <t>https://dream.ai/</t>
  </si>
  <si>
    <t>Freemium art generator with a large number of styles. Although it doesn't say explicitly, it likely uses the older VQGAN-CLIP-based models to generate its images.</t>
  </si>
  <si>
    <t>getimg.ai</t>
  </si>
  <si>
    <t>https://getimg.ai/</t>
  </si>
  <si>
    <t>getting.ai is an AI art generator app with 20 open source models, including
Stable Diffusion and models built from it, like OpenJourney.</t>
  </si>
  <si>
    <t>Let's Enhance</t>
  </si>
  <si>
    <t>https://letsenhance.io/</t>
  </si>
  <si>
    <t>Let's Enhance is an AI-powered image upscaling app that recently
added an art generator.</t>
  </si>
  <si>
    <t>NightCafe</t>
  </si>
  <si>
    <t>https://nightcafe.studio/</t>
  </si>
  <si>
    <t>NightCafe adds extra features like styles to DALL·E 2 and Stable Diffusion,
as well as allowing you to use older generative art models. More importantly,
NightCafe is a community for AI art enthusiasts that includes challenges,
a Discord server, and a gallery.</t>
  </si>
  <si>
    <t>Stablecog</t>
  </si>
  <si>
    <t>https://stablecog.com/</t>
  </si>
  <si>
    <t>Stablecog is another AI art generator based on Stable Diffusion and
other similar models.</t>
  </si>
  <si>
    <t>StarryAI</t>
  </si>
  <si>
    <t>https://starryai.com/</t>
  </si>
  <si>
    <t>StarryAI is another art generator that uses the older VQGAN-CLIP
and CLIP-Guided Diffusion models.</t>
  </si>
  <si>
    <t>Midjourney</t>
  </si>
  <si>
    <t>https://www.midjourney.com/</t>
  </si>
  <si>
    <t>While Midjourney has one of the weirdest user interfaces—you access it through
the chat app Discord—it reliably produces some of the best-looking,
most realistic results.</t>
  </si>
  <si>
    <t>Arcads</t>
  </si>
  <si>
    <t>arcads.ai</t>
  </si>
  <si>
    <t>AI generated user videos reviewing a product. Looks very realistic. Creating social media videos</t>
  </si>
  <si>
    <t>To Use - Adhoc</t>
  </si>
  <si>
    <t>Leap AI</t>
  </si>
  <si>
    <t>https://www.tryleap.ai/</t>
  </si>
  <si>
    <t>Create beautiful images effortlessly with our AI Image Generator tool.</t>
  </si>
  <si>
    <t>Raphael</t>
  </si>
  <si>
    <t>https://raphael.app/</t>
  </si>
  <si>
    <t>Free - unlimited image generation</t>
  </si>
  <si>
    <t>Black Forest Labs Flux</t>
  </si>
  <si>
    <t>https://blackforestlabs.ai/tools-home/</t>
  </si>
  <si>
    <t>Image editor and generator</t>
  </si>
  <si>
    <t>Nebius</t>
  </si>
  <si>
    <t>https://nebius.com/</t>
  </si>
  <si>
    <t>Image generator</t>
  </si>
  <si>
    <t>Graficto</t>
  </si>
  <si>
    <t>https://graficto.com/</t>
  </si>
  <si>
    <t>Infographic Generator</t>
  </si>
  <si>
    <t>Content Generation - Infographic</t>
  </si>
  <si>
    <t>Infografi</t>
  </si>
  <si>
    <t>https://infografix.app/</t>
  </si>
  <si>
    <t>Vennage</t>
  </si>
  <si>
    <t>https://venngage.com/</t>
  </si>
  <si>
    <t>Looka</t>
  </si>
  <si>
    <t>https://looka.com/</t>
  </si>
  <si>
    <t>Looka is a tool that helps you design a logo and build a brand you love using AI.</t>
  </si>
  <si>
    <t>Content Generation - Logo</t>
  </si>
  <si>
    <t>MindMap</t>
  </si>
  <si>
    <t>https://mindmapai.app/</t>
  </si>
  <si>
    <t>creates and edits mind maps from various input formats</t>
  </si>
  <si>
    <t>Didn’t find a use</t>
  </si>
  <si>
    <t>Content Generation - Mindmap</t>
  </si>
  <si>
    <t>Beehiiv</t>
  </si>
  <si>
    <t>https://www.beehiiv.com/</t>
  </si>
  <si>
    <t>Newsletter builder and manager.</t>
  </si>
  <si>
    <t>Use instead of mailer lite? Moving Tech Newsletter</t>
  </si>
  <si>
    <t>Content Generation - Newsletter</t>
  </si>
  <si>
    <t>BIK</t>
  </si>
  <si>
    <t>https://bik.ai/</t>
  </si>
  <si>
    <t>BIK is a powerful marketing automation platform designed for eCommerce
brands, delivering impressive ROI.</t>
  </si>
  <si>
    <t>Content Generation - Post</t>
  </si>
  <si>
    <t>Arcane</t>
  </si>
  <si>
    <t>https://tryarcane.com/</t>
  </si>
  <si>
    <t>Content Marketing Feed - post creator</t>
  </si>
  <si>
    <t>Inrō</t>
  </si>
  <si>
    <t>https://www.inro.social/</t>
  </si>
  <si>
    <t>Inrō is an AI-powered DM marketing tool for Instagram. It enables growth teams
and brands to enhance customer interactions and forge genuine connections.</t>
  </si>
  <si>
    <t>Opus Clip</t>
  </si>
  <si>
    <t>https://www.opus.pro/</t>
  </si>
  <si>
    <t>OpusClip turns long videos into shorts, and publishes them to all social
platforms in one click.</t>
  </si>
  <si>
    <t>QuraAi</t>
  </si>
  <si>
    <t>https://www.qura.ai/</t>
  </si>
  <si>
    <t>Qura.ai, a Chrome extension, uses AI and automation to enhance your
X (Twitter) experience by crafting intelligent tweet responses.</t>
  </si>
  <si>
    <t>ReplyMind</t>
  </si>
  <si>
    <t>https://www.replymind.com/</t>
  </si>
  <si>
    <t>ReplyMind is an AI tool that boosts professionals' social presence on
LinkedIn, Twitter, and Product Hunt with authentic, relevant replies.</t>
  </si>
  <si>
    <t>Pygma</t>
  </si>
  <si>
    <t>https://www.pygma.me/</t>
  </si>
  <si>
    <t>Smart Instagram assistant to help you create, schedule, and engage
for social media growth.</t>
  </si>
  <si>
    <t>StoryChief</t>
  </si>
  <si>
    <t>https://www.storychief.io/</t>
  </si>
  <si>
    <t>StoryChief streamlines content collaboration and distribution,
empowering teams to seamlessly publish across platforms.</t>
  </si>
  <si>
    <t>Visla</t>
  </si>
  <si>
    <t>https://www.visla.us/</t>
  </si>
  <si>
    <t>AI video creation is easy with Visla, which handles the storyboard, script,
B-roll, voice-over, subtitles, and more.</t>
  </si>
  <si>
    <t>Augie Studio</t>
  </si>
  <si>
    <t>https://augie.studio/</t>
  </si>
  <si>
    <t>Augie is a video creation and editing studio that enables businesses to
leverage the power of video-first marketing.</t>
  </si>
  <si>
    <t>Rizzle AI</t>
  </si>
  <si>
    <t>https://rizzle.com/</t>
  </si>
  <si>
    <t>Create captivating videos from text and podcasts in minutes.</t>
  </si>
  <si>
    <t>LetzAI</t>
  </si>
  <si>
    <t>https://www.letz.ai/</t>
  </si>
  <si>
    <t>Create with AI magic. LetzAI is a generative AI platform that allows you to infuse
your own style into your creations.</t>
  </si>
  <si>
    <t>Descript</t>
  </si>
  <si>
    <t>https://www.descript.com/</t>
  </si>
  <si>
    <t>Descript is the AI-powered, fully featured, end-to-end video editor that
you already know how to use.</t>
  </si>
  <si>
    <t>Wondershare
Filmora</t>
  </si>
  <si>
    <t>https://filmora.wondershare.com/</t>
  </si>
  <si>
    <t>Effortlessly create with a fully-equipped video editing suite powered by AI.</t>
  </si>
  <si>
    <t>Pika</t>
  </si>
  <si>
    <t>https://pika.art/</t>
  </si>
  <si>
    <t>Fun Video creator</t>
  </si>
  <si>
    <t>Luma Dream
Machine</t>
  </si>
  <si>
    <t>https://lumalabs.ai</t>
  </si>
  <si>
    <t>Generates high-quality videos quickly. Probably most realistic than others, much better than Dallee</t>
  </si>
  <si>
    <t>Not cost effective</t>
  </si>
  <si>
    <t>Peech</t>
  </si>
  <si>
    <t>https://www.peech-ai.com/</t>
  </si>
  <si>
    <t>Peech’s self-serve platform automates video management, editing, and
repurposing, allowing you to create high-quality content at scale, cut costs,
and increase engagement effortlessly.</t>
  </si>
  <si>
    <t>PixVerse</t>
  </si>
  <si>
    <t>https://pixverse.ai/</t>
  </si>
  <si>
    <t>PixVerse is an innovative AI-powered video creation platform that unlocks
the full potential of video creation.</t>
  </si>
  <si>
    <t>Gan.ai</t>
  </si>
  <si>
    <t>https://gan.ai/</t>
  </si>
  <si>
    <t>Studio by Gan.AI simplifies the creation and sharing of personalized
videos at scale.</t>
  </si>
  <si>
    <t>Captions</t>
  </si>
  <si>
    <t>https://www.captions.ai/</t>
  </si>
  <si>
    <t>The next generation of storytelling made simple, thanks to AI.</t>
  </si>
  <si>
    <t>Fliki</t>
  </si>
  <si>
    <t>https://fliki.ai/</t>
  </si>
  <si>
    <t>Transform your ideas into stunning videos with our AI video generator.
Easy to use Text to Video editor featuring lifelike voiceovers, dynamic
AI video clips, and a wide range of AI-powered features.</t>
  </si>
  <si>
    <t>Infinity AI</t>
  </si>
  <si>
    <t>https://infinity.ai/</t>
  </si>
  <si>
    <t>Type a script. Get a movie out. Building generative video models
focused on people.</t>
  </si>
  <si>
    <t>Pollo</t>
  </si>
  <si>
    <t>https://pollo.ai/</t>
  </si>
  <si>
    <t>Video generator</t>
  </si>
  <si>
    <t>DigenAI</t>
  </si>
  <si>
    <t>https://www.digen.ai/</t>
  </si>
  <si>
    <t>Videos with AI avatas - Very AI looking</t>
  </si>
  <si>
    <t>Heygen</t>
  </si>
  <si>
    <t>Produces studio quality videos with AI-generated avatars and voices.  Best avatar looking AI</t>
  </si>
  <si>
    <t>Content Generation - Video (Avatars)</t>
  </si>
  <si>
    <t>Synthesia</t>
  </si>
  <si>
    <t>https://www.synthesia.io/</t>
  </si>
  <si>
    <t>Synthesia generates videos from plain text, saving 80% of your time and budget.</t>
  </si>
  <si>
    <t>Zebracat</t>
  </si>
  <si>
    <t>https://www.zebracat.ai/</t>
  </si>
  <si>
    <t>Video creator - with avatars. Looks very AI</t>
  </si>
  <si>
    <t>Content Generation - Video (avatars)</t>
  </si>
  <si>
    <t>Hume</t>
  </si>
  <si>
    <t>https://www.hume.ai/</t>
  </si>
  <si>
    <t>Called Octane too. Speech to text and text sto speech. Can create very realistic conversational agents</t>
  </si>
  <si>
    <t>Content Generation - Voice &lt;&gt; Text</t>
  </si>
  <si>
    <t>mnml.ai</t>
  </si>
  <si>
    <t>https://mnml.ai/</t>
  </si>
  <si>
    <t>AI-powered design and rendering tools for architects and interior designers.</t>
  </si>
  <si>
    <t>Bezi AI</t>
  </si>
  <si>
    <t>https://www.bezi.com/</t>
  </si>
  <si>
    <t>Bezi AI streamlines the design process, enabling effortless creation of
immersive 3D apps and games with increased collaboration and efficiency.</t>
  </si>
  <si>
    <t>AI Product Shot</t>
  </si>
  <si>
    <t>https://www.aiproductshot.com/</t>
  </si>
  <si>
    <t>Create stunning and professional product images effortlessly with
advanced AI technology.</t>
  </si>
  <si>
    <t>Weavely</t>
  </si>
  <si>
    <t>https://www.weavely.ai/</t>
  </si>
  <si>
    <t>Design and publish interactive web-based forms by transforming your visual
ideas into functional forms using Figma integration.</t>
  </si>
  <si>
    <t>Deblank</t>
  </si>
  <si>
    <t>https://deblank.com/</t>
  </si>
  <si>
    <t>Discover and visualize color palettes effortlessly using AI. Generate unique
colors for your design projects with ease.</t>
  </si>
  <si>
    <t>Eraser AI</t>
  </si>
  <si>
    <t>https://www.eraser.io/</t>
  </si>
  <si>
    <t>Eraser AI is an innovative copilot for technical design, empowering users to
effortlessly create and modify diagrams and documents.</t>
  </si>
  <si>
    <t>Fontjoy</t>
  </si>
  <si>
    <t>https://fontjoy.com/</t>
  </si>
  <si>
    <t>Fontjoy helps designers effortlessly find the perfect font combinations
for their projects.</t>
  </si>
  <si>
    <t>Visme</t>
  </si>
  <si>
    <t>https://www.visme.co</t>
  </si>
  <si>
    <t>Generate impactful designs with the Visme AI Designer,
requiring minimal editing.</t>
  </si>
  <si>
    <t>Fable Prism</t>
  </si>
  <si>
    <t>https://www.fable.app/</t>
  </si>
  <si>
    <t>Prism empowers designers with generative AI for seamless animation, editing,
and creative control in a single platform.</t>
  </si>
  <si>
    <t>Pictographic</t>
  </si>
  <si>
    <t>https://pictographic.io/</t>
  </si>
  <si>
    <t>The ultimate design illustration dictionary for visual inspiration and creativity.</t>
  </si>
  <si>
    <t>Creatie</t>
  </si>
  <si>
    <t>https://creatie.ai/</t>
  </si>
  <si>
    <t>Turn your ideas into stunning designs with AI magic that amplifies creativity and
collaboration for teams building tomorrow's wonders together.</t>
  </si>
  <si>
    <t>Riverside</t>
  </si>
  <si>
    <t>https://riverside.fm/</t>
  </si>
  <si>
    <t>Riverside is an AI-powered online studio for high-quality podcast and
video recording and editing.</t>
  </si>
  <si>
    <t>Podcast</t>
  </si>
  <si>
    <t>Huberman AI</t>
  </si>
  <si>
    <t>https://huberman.rile.yt/</t>
  </si>
  <si>
    <t>Huberman AI is an AI-based generator that answers any scientific or
health-related questions based on Huberman's knowledge.</t>
  </si>
  <si>
    <t>Self Improvement</t>
  </si>
  <si>
    <t>Kickresume</t>
  </si>
  <si>
    <t>https://www.kickresume.com/</t>
  </si>
  <si>
    <t>Kickresume uses OpenAI's GPT-4 NLP model to auto-generate
your resume and CV.</t>
  </si>
  <si>
    <t>Trendspider</t>
  </si>
  <si>
    <t>https://trendspider.com/</t>
  </si>
  <si>
    <t>AI Powered Trading Tool</t>
  </si>
  <si>
    <t>Stock Trading</t>
  </si>
  <si>
    <t>Composer</t>
  </si>
  <si>
    <t>https://www.composer.trade/</t>
  </si>
  <si>
    <t>AI-driven investing; no-code strategy creation, automated execution,
community insights.</t>
  </si>
  <si>
    <t>BlackHedge</t>
  </si>
  <si>
    <t>https://www.blackhedge.io/</t>
  </si>
  <si>
    <t>AI-driven stock trading app democratizing investing with predictive models,
chart signals, and user-friendly design</t>
  </si>
  <si>
    <t>Potato</t>
  </si>
  <si>
    <t>https://potato.trade/</t>
  </si>
  <si>
    <t>AI-driven trading, real-time analysis, automated, risk-managed, user-friendly.</t>
  </si>
  <si>
    <t>BigShort</t>
  </si>
  <si>
    <t>https://bigshort.com/</t>
  </si>
  <si>
    <t>Comprehensive stock market analytics and trading platform designed to
help traders navigate the complexities of the market.</t>
  </si>
  <si>
    <t>Option Alpha</t>
  </si>
  <si>
    <t>https://optionalpha.com/</t>
  </si>
  <si>
    <t>Empower your options trading with automated bots, backtesting,
and robust education.</t>
  </si>
  <si>
    <t>Tradytics</t>
  </si>
  <si>
    <t>https://tradytics.com/</t>
  </si>
  <si>
    <t>Empowers traders with Wall Street-grade analytics, AI insights,
and a supportive community.</t>
  </si>
  <si>
    <t>Trading Literacy</t>
  </si>
  <si>
    <t>https://tradingliteracy.com/</t>
  </si>
  <si>
    <t>Leverage conversational Artificial Intelligence to get more insights from
your investment activity.</t>
  </si>
  <si>
    <t>Monarch Money</t>
  </si>
  <si>
    <t>https://www.monarchmoney.com/</t>
  </si>
  <si>
    <t>Streamline finances with AI, collaboration tools, and secure investment tracking.</t>
  </si>
  <si>
    <t>Receiptor.ai</t>
  </si>
  <si>
    <t>https://receiptor.ai/</t>
  </si>
  <si>
    <t>Streamline receipt management with AI: Extract, categorize,
analyze expenses effortlessly.</t>
  </si>
  <si>
    <t>Nanonets</t>
  </si>
  <si>
    <t>https://nanonets.com/</t>
  </si>
  <si>
    <t>Transform business processes with AI-driven data extraction and automation.</t>
  </si>
  <si>
    <t>hoopsAI</t>
  </si>
  <si>
    <t>https://www.hoopsai.com/</t>
  </si>
  <si>
    <t>Unlock personalized, AI-driven trading insights across multiple assets.</t>
  </si>
  <si>
    <t>Coinfeeds</t>
  </si>
  <si>
    <t>https://www.coinfeeds.io/</t>
  </si>
  <si>
    <t>Your Crypto Chatbot Companion, ask it anything!</t>
  </si>
  <si>
    <t>Byway</t>
  </si>
  <si>
    <t>https://www.byway.travel/</t>
  </si>
  <si>
    <t>Explore flight-free personalized trips in the UK and Europe.</t>
  </si>
  <si>
    <t>Travel</t>
  </si>
  <si>
    <t>Bigfoot</t>
  </si>
  <si>
    <t>https://www.meetbigfoot.com/</t>
  </si>
  <si>
    <t>There are endless possibilities in your city. Let Bigfoot help you discover amazing
experiences effortlessly.</t>
  </si>
  <si>
    <t>Swifty</t>
  </si>
  <si>
    <t>https://www.swifty.so/</t>
  </si>
  <si>
    <t>Your AI Assistant for Simplifying Business Travel.</t>
  </si>
  <si>
    <t>Wanderboat AI</t>
  </si>
  <si>
    <t>https://wanderboat.ai/</t>
  </si>
  <si>
    <t>Your ultimate travel companion for discovering the best restaurants, attractions,
and events in minutes.</t>
  </si>
  <si>
    <t>Talwind Studio</t>
  </si>
  <si>
    <t>Accelerate your React development with visual, intuitive superpowers. Drag, drop, click, and prompt your UI into place.</t>
  </si>
  <si>
    <t>Content Generation - video, branding</t>
  </si>
  <si>
    <t>Kaiden</t>
  </si>
  <si>
    <t>https://kaiden.ai/</t>
  </si>
  <si>
    <t xml:space="preserve">AI Teaching Assistant for creating lesson plans faster, providing
AI tools to enhance teaching efficiency. 
</t>
  </si>
  <si>
    <t>Teaching (PROB DELETE)</t>
  </si>
  <si>
    <t>Replio</t>
  </si>
  <si>
    <t>https://usereplio.com/</t>
  </si>
  <si>
    <t>AI tool for more in-depth, interview-based surveys and insights.</t>
  </si>
  <si>
    <t>Surveys - PROB DELETE - no se si existe</t>
  </si>
  <si>
    <t>PhotoAI</t>
  </si>
  <si>
    <t>https://photoai.com/</t>
  </si>
  <si>
    <t>AI tool that replaces the need for photographers by automating the image creation process.</t>
  </si>
  <si>
    <t>Runway</t>
  </si>
  <si>
    <t>https://runwayml.com/</t>
  </si>
  <si>
    <t>AI tool to turn any image into a short video clip with ease.</t>
  </si>
  <si>
    <t>Polymet.ai</t>
  </si>
  <si>
    <t>https://www.polymet.ai/</t>
  </si>
  <si>
    <t>AI-powered UX/UI product designer tool to help streamline product development.</t>
  </si>
  <si>
    <t>Product / UI Design</t>
  </si>
  <si>
    <t>PlayPlay*</t>
  </si>
  <si>
    <t>AI-powered video creation at scale. Boost engagement with studio-like videos created in 1 click – trusted by IBM, SAS, Dell &amp; more.</t>
  </si>
  <si>
    <t>Content Generation - video/marketing</t>
  </si>
  <si>
    <t>Copy.ai</t>
  </si>
  <si>
    <t>https://www.copy.ai/</t>
  </si>
  <si>
    <t>AI-powered Workflows for sales, marketing, and customer success, allowing multi-step processes to be codified.</t>
  </si>
  <si>
    <t>Content Generation - text, marketing</t>
  </si>
  <si>
    <t>Nemo AI</t>
  </si>
  <si>
    <t>An AI-powered mental health assistant that is readily available for you 24/7.</t>
  </si>
  <si>
    <t>Mental health - borra esto xdios</t>
  </si>
  <si>
    <t>Yuna</t>
  </si>
  <si>
    <t>An AI-powered mental health coach designed to support you feel and become your best.</t>
  </si>
  <si>
    <t>Fliz</t>
  </si>
  <si>
    <t>Automate high-quality videos to increase your sales with AI.</t>
  </si>
  <si>
    <t>Podsqueeze</t>
  </si>
  <si>
    <t>Automate podcast creation. Generate transcripts, show notes, social posts, video clips and much more, with a single click using AI.</t>
  </si>
  <si>
    <t>Content Generation - Podcast</t>
  </si>
  <si>
    <t>Jellypod</t>
  </si>
  <si>
    <t>Convert your emails and newsletters into a personal podcast.</t>
  </si>
  <si>
    <t>Illustroke</t>
  </si>
  <si>
    <t>https://illustroke.com/</t>
  </si>
  <si>
    <t>Crea imágenes vectoriales asesinas a partir de instrucciones de texto</t>
  </si>
  <si>
    <t>Content generation - images</t>
  </si>
  <si>
    <t>Beatoven</t>
  </si>
  <si>
    <t>https://www.beatoven.ai/</t>
  </si>
  <si>
    <t>Crea música única libre de regalias que eleve tu historia</t>
  </si>
  <si>
    <t>Content generation - Music</t>
  </si>
  <si>
    <t>Flair</t>
  </si>
  <si>
    <t>https://flair.ai/</t>
  </si>
  <si>
    <t>diseño de contenido de marca en un instante</t>
  </si>
  <si>
    <t>Design - branding / logos</t>
  </si>
  <si>
    <t>Drawww</t>
  </si>
  <si>
    <t>Draw amazing artworks in real-time on your iPad with AI.</t>
  </si>
  <si>
    <t>Content generation - art</t>
  </si>
  <si>
    <t>Cleanvoice</t>
  </si>
  <si>
    <t>https://cleanvoice.ai/</t>
  </si>
  <si>
    <t>edita automáticamente tus episodios de podcast</t>
  </si>
  <si>
    <t>Limpieza</t>
  </si>
  <si>
    <t>https://cleanup.pictures/</t>
  </si>
  <si>
    <t>Elimina cualquier objeto, defecto, personas o texto de tus fotos en segundos</t>
  </si>
  <si>
    <t>Photo editing</t>
  </si>
  <si>
    <t>Nero AI</t>
  </si>
  <si>
    <t>Enhance your video up to 4x its original quality with AI.</t>
  </si>
  <si>
    <t xml:space="preserve">Video editing </t>
  </si>
  <si>
    <t>Camp AI</t>
  </si>
  <si>
    <t>Extract text, people, location, and music from your screenshots using AI.</t>
  </si>
  <si>
    <t>Tripo AI</t>
  </si>
  <si>
    <t>Generate high-quality and ready-to-use 3D models with text or images in seconds.</t>
  </si>
  <si>
    <t>Content Generation - 3D models</t>
  </si>
  <si>
    <t>Letterfly</t>
  </si>
  <si>
    <t>https://www.letterfy.co/</t>
  </si>
  <si>
    <t>Generate high-quality cover letters quickly with AI technology.</t>
  </si>
  <si>
    <t>Content Generation - cover letters</t>
  </si>
  <si>
    <t>Creatify</t>
  </si>
  <si>
    <t>Generate high-quality marketing videos from a simple product link or text description.</t>
  </si>
  <si>
    <t>Content Generation - marketing videos</t>
  </si>
  <si>
    <t>Mockey</t>
  </si>
  <si>
    <t>Generate high-quality product mockups with 1000+ templates.</t>
  </si>
  <si>
    <t>Content Generation - mockups</t>
  </si>
  <si>
    <t>Gotalk</t>
  </si>
  <si>
    <t>Generate lifelike voices in 50 different languages and 8,000 Soundtracks for YouTube, podcasts, phone system greetings and more.</t>
  </si>
  <si>
    <t>Content Generation - speech / audio</t>
  </si>
  <si>
    <t>Gallileo</t>
  </si>
  <si>
    <t>Generate mobile and desktop user interface designs faster with AI.</t>
  </si>
  <si>
    <t>Content Generation - interface</t>
  </si>
  <si>
    <t>Snapby</t>
  </si>
  <si>
    <t>Generates super-realistic images instantly by using simple prompts.</t>
  </si>
  <si>
    <t>GetWebsite.Report</t>
  </si>
  <si>
    <t>Get a comprehensive webpage audit with tailored insights.</t>
  </si>
  <si>
    <t xml:space="preserve">Website - audit </t>
  </si>
  <si>
    <t>GrowthSchool*</t>
  </si>
  <si>
    <t>GrowthSchool is hosting a free AI &amp; ChatGPT Workshop — Become an AI &amp; ChatGPT genius in just 3 hours. Register now (Offer valid for first 100 people).</t>
  </si>
  <si>
    <t>Generative AI workshop</t>
  </si>
  <si>
    <t>Vidyo</t>
  </si>
  <si>
    <t>https://vidyo.ai/</t>
  </si>
  <si>
    <t>Haz vídeos cortos a partir de contenido largo en tan solo unos clics</t>
  </si>
  <si>
    <t>Content generation - video</t>
  </si>
  <si>
    <t>Aragon</t>
  </si>
  <si>
    <t>https://www.aragon.ai/</t>
  </si>
  <si>
    <t>Headshots. Same as photoai</t>
  </si>
  <si>
    <t>MagicSchool</t>
  </si>
  <si>
    <t>https://www.magicschool.ai/</t>
  </si>
  <si>
    <t>Join millions of teachers using MagicSchool, the #1 AI Platform for Education,
to save time with lesson planning, differentiation, assessments, IEPs,
and communication.</t>
  </si>
  <si>
    <t>Education</t>
  </si>
  <si>
    <t>Crewting</t>
  </si>
  <si>
    <t>https://www.crewting.com/</t>
  </si>
  <si>
    <t>Powered by AI matching, discover unique coffee breaks for remote workers.</t>
  </si>
  <si>
    <t xml:space="preserve">Coffee breaks for remote workers - delete </t>
  </si>
  <si>
    <t>Replicate</t>
  </si>
  <si>
    <t>https://replicate.com/home</t>
  </si>
  <si>
    <t>Run AI with an API to create your own profile photo.</t>
  </si>
  <si>
    <t>Social Signal</t>
  </si>
  <si>
    <t>SocialSignal AI :: Turn Social Chatter into Growth</t>
  </si>
  <si>
    <t>Scan twitter, reddit and hacker news for clients and respond/engage.</t>
  </si>
  <si>
    <t xml:space="preserve">Social media </t>
  </si>
  <si>
    <t>Kuasar Video</t>
  </si>
  <si>
    <t>Score tens of thousands of videos on social media and analyze them using video AI.</t>
  </si>
  <si>
    <t>Uptrends.ai</t>
  </si>
  <si>
    <t>https://app.uptrends.ai/</t>
  </si>
  <si>
    <t>The first AI stock market news monitoring platform made for DIY investors.
Uptrends.ai analyzes chatter to help you find the trends &amp; events that matter.</t>
  </si>
  <si>
    <t xml:space="preserve">Stock Trading </t>
  </si>
  <si>
    <t>Rex AI</t>
  </si>
  <si>
    <t>Transform your health with AI nutrition and fitness coach, tailored to your unique goals. Track your calories, workout and meals with AI.</t>
  </si>
  <si>
    <t xml:space="preserve">Health </t>
  </si>
  <si>
    <t>Pictory AI</t>
  </si>
  <si>
    <t>Turn any content into highly shareable videos with AI.</t>
  </si>
  <si>
    <t>Content Generation - video</t>
  </si>
  <si>
    <t>Spiritme</t>
  </si>
  <si>
    <t>Turn your PDFs into videos with just a few clicks.</t>
  </si>
  <si>
    <t>Typeset</t>
  </si>
  <si>
    <t>Turn your text into impressive visuals effortlessly using AI.</t>
  </si>
  <si>
    <t>Hugging Spaces</t>
  </si>
  <si>
    <t>https://huggingface.co/</t>
  </si>
  <si>
    <t>Discover amazing AI apps made by the community!</t>
  </si>
  <si>
    <t>Could not make it work</t>
  </si>
  <si>
    <t>App Development</t>
  </si>
  <si>
    <t>Antispace</t>
  </si>
  <si>
    <t>https://antispace.sh/</t>
  </si>
  <si>
    <t>All-in-one AI tool that helps break down problems and formulate solutions, converting thoughts into actions.</t>
  </si>
  <si>
    <t>Could not make it work. Started - Failing. Cool idea</t>
  </si>
  <si>
    <t>Aftercare</t>
  </si>
  <si>
    <t>https://www.getaftercare.com/</t>
  </si>
  <si>
    <t>Surveys/ Feedback collector with LLM Chat. Conduct user surveys with intelligent followups</t>
  </si>
  <si>
    <t>Used a lot, but now the app seems to be not functional</t>
  </si>
  <si>
    <t>Krisp AI</t>
  </si>
  <si>
    <t>https://krisp.ai/</t>
  </si>
  <si>
    <t>AI-powered noise cancellation, transcription and meeting notes. Free package has plenty. Pro is only 8 per month</t>
  </si>
  <si>
    <t>Does not work on Windows - Updae does nmow- need to re test</t>
  </si>
  <si>
    <t>Focus Buddy</t>
  </si>
  <si>
    <t>https://app.focusbuddy.ai/</t>
  </si>
  <si>
    <t>AI productivity assistant that helps manage your to-do list and stay on track with focus sessions. Like a pomodoro with a live assistant that keeps you on task</t>
  </si>
  <si>
    <t>Found a better option. The assistant is super annoying, asked it to not remind me anymore and kept doing so. The on task assistant is no add on value over Chat gpt</t>
  </si>
  <si>
    <t>BeforeSunset</t>
  </si>
  <si>
    <t>https://app.beforesunset.ai/</t>
  </si>
  <si>
    <t>Organizer for to-dos with some bugs and user experience issues.</t>
  </si>
  <si>
    <t>Errors and only works on daily plan</t>
  </si>
  <si>
    <t>AI-powered Excel-like tool to analyze and format data according to your needs. Excel</t>
  </si>
  <si>
    <t>Artbreeder</t>
  </si>
  <si>
    <t>https://www.artbreeder.com/</t>
  </si>
  <si>
    <t>Artbreeder (formerly Ganbreeder) launched in 2018 as a platform for
experimenting with generative AIs.</t>
  </si>
  <si>
    <t>Content Generation - images</t>
  </si>
  <si>
    <t>Cody App</t>
  </si>
  <si>
    <t>https://www.mycody.io</t>
  </si>
  <si>
    <t>Cody is a personal career companion that helps you navigate your
professional journey.</t>
  </si>
  <si>
    <t>Professional guidance</t>
  </si>
  <si>
    <t>DreamyRooms</t>
  </si>
  <si>
    <t>Effortlessly redesign any room by applying various design themes to uploaded pictures.</t>
  </si>
  <si>
    <t>OAM.AI</t>
  </si>
  <si>
    <t>https://www.oam.ai/</t>
  </si>
  <si>
    <t>assists BNB guests with check-in, finding items in their rental,
and offering real-time recommendations.</t>
  </si>
  <si>
    <t>Photify</t>
  </si>
  <si>
    <t>Transform your selfie into thousands of different looks.</t>
  </si>
  <si>
    <t xml:space="preserve">Photo editing </t>
  </si>
  <si>
    <t>Shakker</t>
  </si>
  <si>
    <t>Create images, change styles, combine components, or inpaint any part, with prompt suggestion and precise designs.</t>
  </si>
  <si>
    <t xml:space="preserve">Content generation - images </t>
  </si>
  <si>
    <t>Soundraw</t>
  </si>
  <si>
    <t>https://soundraw.io/</t>
  </si>
  <si>
    <t>Deja de buscar la canción que necesitas. Crearlo.</t>
  </si>
  <si>
    <t>Content Generation - Music</t>
  </si>
  <si>
    <t>Storywizard</t>
  </si>
  <si>
    <t>https://www.storywizard.ai/</t>
  </si>
  <si>
    <t>Storywizard reimagines the way children learn by harnessing the power of
AI to create personalized and engaging educational experiences.</t>
  </si>
  <si>
    <t>Stockimg</t>
  </si>
  <si>
    <t>https://stockimg.ai/</t>
  </si>
  <si>
    <t xml:space="preserve">Stockimg utilizes AI to create unique QR codes. </t>
  </si>
  <si>
    <t>Content Generation - QR Code</t>
  </si>
  <si>
    <t xml:space="preserve">Palmyra X5 </t>
  </si>
  <si>
    <t>Offered through Bedrock (AWS) only</t>
  </si>
  <si>
    <t>building and scaling AI agents</t>
  </si>
  <si>
    <t>Evaluate cheaper GPT-4.1 alternative</t>
  </si>
  <si>
    <t>Agent</t>
  </si>
  <si>
    <t>Hirebase</t>
  </si>
  <si>
    <t>https://www.hirebase.org/</t>
  </si>
  <si>
    <t>Search jobs directly from company career pages.</t>
  </si>
  <si>
    <t>Job application</t>
  </si>
  <si>
    <t>LiftmyCV</t>
  </si>
  <si>
    <t>https://www.liftmycv.com/</t>
  </si>
  <si>
    <t>Job-application AI agen</t>
  </si>
  <si>
    <t>AutoApply</t>
  </si>
  <si>
    <t>Automate your job applications, create customized CVs, and craft personalized cover letters.</t>
  </si>
  <si>
    <t>Job application - automation</t>
  </si>
  <si>
    <t>Faltah AI</t>
  </si>
  <si>
    <t>Practice interview questions, enhance your skills, and get tips for your next interview.</t>
  </si>
  <si>
    <t>Interview Jarvis</t>
  </si>
  <si>
    <t>Practice interview questions and get answers tailored to your resume.</t>
  </si>
  <si>
    <t>Interview with AI</t>
  </si>
  <si>
    <t>https://interviewwith.ai/</t>
  </si>
  <si>
    <t>Interview with AI. Create a personalized roadmap,
test yourself with quizzes, and practice with AI.</t>
  </si>
  <si>
    <t>Jobright</t>
  </si>
  <si>
    <t>https://jobright.ai/</t>
  </si>
  <si>
    <t>Find jobs - personalized opportunities tailored to your goals.</t>
  </si>
  <si>
    <t>BuildMeA
CoverLetter</t>
  </si>
  <si>
    <t>https://www.buildmeacoverletter.com/</t>
  </si>
  <si>
    <t xml:space="preserve"> Generate customized resumes and
cover letters tailored to specific job requirements </t>
  </si>
  <si>
    <t>Job application - interviews</t>
  </si>
  <si>
    <t>Prepair</t>
  </si>
  <si>
    <t>https://www.letsprepair.com</t>
  </si>
  <si>
    <t>Test your technical interview skills with an advanced AI mock interview.</t>
  </si>
  <si>
    <t>Commusoft</t>
  </si>
  <si>
    <t xml:space="preserve">	
commusoft.co.uk</t>
  </si>
  <si>
    <t>Focused on trades businesses for job tracking, invoicing, and customer comms.</t>
  </si>
  <si>
    <t>Job management software</t>
  </si>
  <si>
    <t>Arc Hire AI</t>
  </si>
  <si>
    <t>https://arc.dev/</t>
  </si>
  <si>
    <t>Arc is a global marketplace connecting top developers, designers 
and marketers from 190 countries.</t>
  </si>
  <si>
    <t>Marketplace - Hiring</t>
  </si>
  <si>
    <t>CodeSignal</t>
  </si>
  <si>
    <t>https://codesignal.com/</t>
  </si>
  <si>
    <t>Discover and enhance your skills, whether for personal growth
or building a top-notch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</si>
</sst>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u/>
      <sz val="11"/>
      <color theme="10"/>
      <name val="Aptos Narrow"/>
      <family val="2"/>
      <scheme val="minor"/>
    </font>
    <font>
      <sz val="11"/>
      <color theme="1"/>
      <name val="Aptos Narrow"/>
      <family val="2"/>
      <scheme val="minor"/>
    </font>
    <font>
      <sz val="10"/>
      <color theme="1"/>
      <name val="Calibri Light"/>
      <family val="2"/>
    </font>
    <font>
      <u/>
      <sz val="10"/>
      <color rgb="FF0000FF"/>
      <name val="Calibri Light"/>
      <family val="2"/>
    </font>
    <font>
      <u/>
      <sz val="10"/>
      <color rgb="FF1155CC"/>
      <name val="Calibri Light"/>
      <family val="2"/>
    </font>
    <font>
      <u/>
      <sz val="10"/>
      <color rgb="FF434343"/>
      <name val="Calibri Light"/>
      <family val="2"/>
    </font>
    <font>
      <sz val="10"/>
      <color rgb="FF434343"/>
      <name val="Calibri Light"/>
      <family val="2"/>
    </font>
    <font>
      <sz val="10"/>
      <color rgb="FF0000FF"/>
      <name val="Calibri Light"/>
      <family val="2"/>
    </font>
    <font>
      <sz val="10"/>
      <color rgb="FF000000"/>
      <name val="Calibri Light"/>
      <family val="2"/>
    </font>
    <font>
      <sz val="11"/>
      <color rgb="FF242424"/>
      <name val="Aptos Narrow"/>
      <family val="2"/>
    </font>
    <font>
      <i/>
      <sz val="10"/>
      <color theme="1"/>
      <name val="Calibri Light"/>
      <family val="2"/>
    </font>
    <font>
      <b/>
      <sz val="10"/>
      <color theme="0"/>
      <name val="Calibri Light"/>
      <family val="2"/>
    </font>
    <font>
      <sz val="10"/>
      <color theme="0"/>
      <name val="Calibri Light"/>
      <family val="2"/>
    </font>
    <font>
      <i/>
      <sz val="11"/>
      <color theme="1"/>
      <name val="Aptos Narrow"/>
      <family val="2"/>
      <scheme val="minor"/>
    </font>
    <font>
      <sz val="11"/>
      <color rgb="FF000000"/>
      <name val="Calibri"/>
      <family val="2"/>
    </font>
    <font>
      <b/>
      <sz val="11"/>
      <color theme="1"/>
      <name val="Aptos Narrow"/>
      <family val="2"/>
      <scheme val="minor"/>
    </font>
    <font>
      <b/>
      <sz val="14"/>
      <color theme="1"/>
      <name val="Aptos Narrow"/>
      <family val="2"/>
      <scheme val="minor"/>
    </font>
    <font>
      <sz val="12"/>
      <color theme="1"/>
      <name val="Aptos Narrow"/>
      <family val="2"/>
      <scheme val="minor"/>
    </font>
    <font>
      <b/>
      <sz val="12"/>
      <color theme="0"/>
      <name val="Calibri Light"/>
      <family val="2"/>
    </font>
    <font>
      <sz val="12"/>
      <color theme="0"/>
      <name val="Calibri Light"/>
      <family val="2"/>
    </font>
    <font>
      <sz val="11"/>
      <color theme="10"/>
      <name val="Aptos Narrow"/>
      <family val="2"/>
      <scheme val="minor"/>
    </font>
    <font>
      <sz val="10"/>
      <color theme="0"/>
      <name val="Calibri"/>
      <family val="2"/>
    </font>
    <font>
      <b/>
      <sz val="10"/>
      <color theme="0"/>
      <name val="Calibri"/>
      <family val="2"/>
    </font>
    <font>
      <sz val="10"/>
      <color theme="1"/>
      <name val="Calibri"/>
      <family val="2"/>
    </font>
    <font>
      <sz val="10"/>
      <name val="Calibri"/>
      <family val="2"/>
    </font>
    <font>
      <sz val="11"/>
      <color rgb="FF242424"/>
      <name val="Aptos Narrow"/>
      <charset val="1"/>
    </font>
    <font>
      <b/>
      <sz val="10"/>
      <color theme="1"/>
      <name val="Calibri Light"/>
      <family val="2"/>
    </font>
    <font>
      <sz val="10"/>
      <color rgb="FF262626"/>
      <name val="Calibri Light"/>
      <family val="2"/>
    </font>
    <font>
      <u/>
      <sz val="10"/>
      <color theme="10"/>
      <name val="Calibri Light"/>
      <family val="2"/>
    </font>
    <font>
      <sz val="10"/>
      <name val="Calibri Light"/>
      <family val="2"/>
    </font>
    <font>
      <sz val="10"/>
      <color rgb="FF757070"/>
      <name val="Calibri Light"/>
      <family val="2"/>
    </font>
    <font>
      <sz val="8"/>
      <color rgb="FF8A8A8A"/>
      <name val="Microsoft YaHei"/>
      <family val="2"/>
    </font>
    <font>
      <sz val="9"/>
      <color rgb="FF6C727F"/>
      <name val="Segoe UI"/>
      <family val="2"/>
    </font>
    <font>
      <sz val="10"/>
      <color rgb="FF2C81E5"/>
      <name val="Calibri Light"/>
      <family val="2"/>
    </font>
    <font>
      <b/>
      <sz val="11"/>
      <color theme="1"/>
      <name val="Calibri Light"/>
      <family val="2"/>
    </font>
    <font>
      <sz val="11"/>
      <color theme="1"/>
      <name val="Calibri Light"/>
      <family val="2"/>
    </font>
    <font>
      <u/>
      <sz val="11"/>
      <color theme="10"/>
      <name val="Calibri Light"/>
      <family val="2"/>
    </font>
    <font>
      <sz val="10"/>
      <color rgb="FF8A8B94"/>
      <name val="Calibri Light"/>
      <family val="2"/>
    </font>
  </fonts>
  <fills count="49">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theme="9" tint="0.59999389629810485"/>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rgb="FFF08484"/>
        <bgColor indexed="64"/>
      </patternFill>
    </fill>
    <fill>
      <patternFill patternType="solid">
        <fgColor theme="0" tint="-0.14999847407452621"/>
        <bgColor indexed="64"/>
      </patternFill>
    </fill>
    <fill>
      <patternFill patternType="solid">
        <fgColor rgb="FFEDFA75"/>
        <bgColor indexed="64"/>
      </patternFill>
    </fill>
    <fill>
      <patternFill patternType="solid">
        <fgColor theme="8" tint="0.59999389629810485"/>
        <bgColor indexed="64"/>
      </patternFill>
    </fill>
    <fill>
      <patternFill patternType="solid">
        <fgColor rgb="FFD4B8FC"/>
        <bgColor indexed="64"/>
      </patternFill>
    </fill>
    <fill>
      <patternFill patternType="solid">
        <fgColor rgb="FFFFEAD9"/>
        <bgColor indexed="64"/>
      </patternFill>
    </fill>
    <fill>
      <patternFill patternType="solid">
        <fgColor rgb="FFC3E0E0"/>
        <bgColor indexed="64"/>
      </patternFill>
    </fill>
    <fill>
      <patternFill patternType="solid">
        <fgColor rgb="FFC9A591"/>
        <bgColor indexed="64"/>
      </patternFill>
    </fill>
    <fill>
      <patternFill patternType="solid">
        <fgColor rgb="FF987BB3"/>
        <bgColor indexed="64"/>
      </patternFill>
    </fill>
    <fill>
      <patternFill patternType="solid">
        <fgColor rgb="FFFF9359"/>
        <bgColor indexed="64"/>
      </patternFill>
    </fill>
    <fill>
      <patternFill patternType="solid">
        <fgColor theme="6"/>
        <bgColor indexed="64"/>
      </patternFill>
    </fill>
    <fill>
      <patternFill patternType="solid">
        <fgColor theme="9" tint="0.79998168889431442"/>
        <bgColor rgb="FFFFFFFF"/>
      </patternFill>
    </fill>
    <fill>
      <patternFill patternType="solid">
        <fgColor theme="0"/>
        <bgColor indexed="64"/>
      </patternFill>
    </fill>
    <fill>
      <patternFill patternType="solid">
        <fgColor theme="9" tint="0.79998168889431442"/>
        <bgColor indexed="64"/>
      </patternFill>
    </fill>
    <fill>
      <patternFill patternType="solid">
        <fgColor theme="9" tint="0.79998168889431442"/>
        <bgColor rgb="FFF6F8F9"/>
      </patternFill>
    </fill>
    <fill>
      <patternFill patternType="solid">
        <fgColor theme="9"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50"/>
        <bgColor rgb="FFF6F8F9"/>
      </patternFill>
    </fill>
    <fill>
      <patternFill patternType="solid">
        <fgColor theme="4"/>
        <bgColor indexed="64"/>
      </patternFill>
    </fill>
    <fill>
      <patternFill patternType="solid">
        <fgColor theme="4"/>
        <bgColor rgb="FFF6F8F9"/>
      </patternFill>
    </fill>
    <fill>
      <patternFill patternType="solid">
        <fgColor theme="4"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00"/>
        <bgColor rgb="FFF6F8F9"/>
      </patternFill>
    </fill>
    <fill>
      <patternFill patternType="solid">
        <fgColor rgb="FFFFFF00"/>
        <bgColor rgb="FFFFFFFF"/>
      </patternFill>
    </fill>
    <fill>
      <patternFill patternType="solid">
        <fgColor theme="7"/>
        <bgColor indexed="64"/>
      </patternFill>
    </fill>
    <fill>
      <patternFill patternType="solid">
        <fgColor theme="0"/>
        <bgColor rgb="FFFFFFFF"/>
      </patternFill>
    </fill>
    <fill>
      <patternFill patternType="solid">
        <fgColor theme="0"/>
        <bgColor rgb="FFF6F8F9"/>
      </patternFill>
    </fill>
    <fill>
      <patternFill patternType="solid">
        <fgColor rgb="FF0070C0"/>
        <bgColor indexed="64"/>
      </patternFill>
    </fill>
    <fill>
      <patternFill patternType="solid">
        <fgColor rgb="FF0070C0"/>
        <bgColor rgb="FFF6F8F9"/>
      </patternFill>
    </fill>
    <fill>
      <patternFill patternType="solid">
        <fgColor rgb="FFFF0000"/>
        <bgColor indexed="64"/>
      </patternFill>
    </fill>
  </fills>
  <borders count="37">
    <border>
      <left/>
      <right/>
      <top/>
      <bottom/>
      <diagonal/>
    </border>
    <border>
      <left style="thin">
        <color rgb="FF284E3F"/>
      </left>
      <right/>
      <top style="thin">
        <color rgb="FF284E3F"/>
      </top>
      <bottom/>
      <diagonal/>
    </border>
    <border>
      <left style="thin">
        <color rgb="FF356854"/>
      </left>
      <right/>
      <top style="thin">
        <color rgb="FF284E3F"/>
      </top>
      <bottom/>
      <diagonal/>
    </border>
    <border>
      <left style="thin">
        <color rgb="FF284E3F"/>
      </left>
      <right/>
      <top style="thin">
        <color rgb="FFF6F8F9"/>
      </top>
      <bottom/>
      <diagonal/>
    </border>
    <border>
      <left style="thin">
        <color rgb="FFF6F8F9"/>
      </left>
      <right/>
      <top style="thin">
        <color rgb="FFF6F8F9"/>
      </top>
      <bottom/>
      <diagonal/>
    </border>
    <border>
      <left style="thin">
        <color rgb="FFFFFFFF"/>
      </left>
      <right/>
      <top style="thin">
        <color rgb="FFF6F8F9"/>
      </top>
      <bottom/>
      <diagonal/>
    </border>
    <border>
      <left/>
      <right/>
      <top style="thin">
        <color rgb="FF284E3F"/>
      </top>
      <bottom/>
      <diagonal/>
    </border>
    <border>
      <left/>
      <right/>
      <top style="thin">
        <color rgb="FFF6F8F9"/>
      </top>
      <bottom/>
      <diagonal/>
    </border>
    <border>
      <left style="thin">
        <color rgb="FF284E3F"/>
      </left>
      <right/>
      <top style="thin">
        <color rgb="FFF6F8F9"/>
      </top>
      <bottom style="thin">
        <color rgb="FF000000"/>
      </bottom>
      <diagonal/>
    </border>
    <border>
      <left/>
      <right/>
      <top style="thin">
        <color rgb="FFF6F8F9"/>
      </top>
      <bottom style="thin">
        <color rgb="FF000000"/>
      </bottom>
      <diagonal/>
    </border>
    <border>
      <left style="thin">
        <color rgb="FFFFFFFF"/>
      </left>
      <right/>
      <top style="thin">
        <color rgb="FFF6F8F9"/>
      </top>
      <bottom style="thin">
        <color rgb="FF000000"/>
      </bottom>
      <diagonal/>
    </border>
    <border>
      <left/>
      <right/>
      <top/>
      <bottom style="thin">
        <color rgb="FF000000"/>
      </bottom>
      <diagonal/>
    </border>
    <border>
      <left style="thin">
        <color rgb="FF000000"/>
      </left>
      <right style="thin">
        <color rgb="FFF6F8F9"/>
      </right>
      <top style="thin">
        <color rgb="FFF6F8F9"/>
      </top>
      <bottom style="thin">
        <color rgb="FFF6F8F9"/>
      </bottom>
      <diagonal/>
    </border>
    <border>
      <left/>
      <right style="thin">
        <color rgb="FF000000"/>
      </right>
      <top/>
      <bottom/>
      <diagonal/>
    </border>
    <border>
      <left style="thin">
        <color rgb="FF000000"/>
      </left>
      <right style="thin">
        <color rgb="FFFFFFFF"/>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356854"/>
      </left>
      <right style="thin">
        <color rgb="FF356854"/>
      </right>
      <top style="thin">
        <color rgb="FF284E3F"/>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theme="0"/>
      </right>
      <top style="thin">
        <color rgb="FF284E3F"/>
      </top>
      <bottom/>
      <diagonal/>
    </border>
    <border>
      <left style="thin">
        <color theme="0"/>
      </left>
      <right style="thin">
        <color theme="0"/>
      </right>
      <top style="thin">
        <color rgb="FF284E3F"/>
      </top>
      <bottom/>
      <diagonal/>
    </border>
    <border>
      <left style="thin">
        <color theme="0"/>
      </left>
      <right style="thin">
        <color theme="0"/>
      </right>
      <top/>
      <bottom/>
      <diagonal/>
    </border>
    <border>
      <left style="thin">
        <color theme="0"/>
      </left>
      <right/>
      <top/>
      <bottom/>
      <diagonal/>
    </border>
    <border>
      <left/>
      <right style="thin">
        <color theme="0"/>
      </right>
      <top style="thin">
        <color rgb="FF284E3F"/>
      </top>
      <bottom/>
      <diagonal/>
    </border>
    <border>
      <left/>
      <right style="thin">
        <color theme="0"/>
      </right>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2" fillId="0" borderId="0"/>
  </cellStyleXfs>
  <cellXfs count="419">
    <xf numFmtId="0" fontId="0" fillId="0" borderId="0" xfId="0"/>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3" fillId="3" borderId="5" xfId="0" applyFont="1" applyFill="1" applyBorder="1" applyAlignment="1">
      <alignment horizontal="left" vertical="center"/>
    </xf>
    <xf numFmtId="0" fontId="3" fillId="2" borderId="3" xfId="0" applyFont="1" applyFill="1" applyBorder="1" applyAlignment="1">
      <alignment horizontal="left" vertical="center"/>
    </xf>
    <xf numFmtId="0" fontId="3" fillId="2" borderId="5" xfId="0" applyFont="1" applyFill="1" applyBorder="1" applyAlignment="1">
      <alignment horizontal="left" vertical="center"/>
    </xf>
    <xf numFmtId="0" fontId="3" fillId="2" borderId="4" xfId="0" applyFont="1" applyFill="1" applyBorder="1" applyAlignment="1">
      <alignment horizontal="left" vertical="center"/>
    </xf>
    <xf numFmtId="0" fontId="3" fillId="3" borderId="7" xfId="0" applyFont="1" applyFill="1" applyBorder="1" applyAlignment="1">
      <alignment horizontal="center" vertical="center"/>
    </xf>
    <xf numFmtId="0" fontId="3" fillId="2" borderId="7"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5" xfId="0" applyFont="1" applyFill="1" applyBorder="1" applyAlignment="1">
      <alignment horizontal="center" vertical="center"/>
    </xf>
    <xf numFmtId="0" fontId="3" fillId="10" borderId="4" xfId="0" applyFont="1" applyFill="1" applyBorder="1" applyAlignment="1">
      <alignment horizontal="center" vertical="center"/>
    </xf>
    <xf numFmtId="0" fontId="3" fillId="10" borderId="5"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4" xfId="0" applyFont="1" applyFill="1" applyBorder="1" applyAlignment="1">
      <alignment horizontal="center" vertical="center"/>
    </xf>
    <xf numFmtId="0" fontId="3" fillId="12" borderId="4" xfId="0" applyFont="1" applyFill="1" applyBorder="1" applyAlignment="1">
      <alignment horizontal="center" vertical="center"/>
    </xf>
    <xf numFmtId="0" fontId="3" fillId="12" borderId="5" xfId="0" applyFont="1" applyFill="1" applyBorder="1" applyAlignment="1">
      <alignment horizontal="center" vertical="center"/>
    </xf>
    <xf numFmtId="0" fontId="3" fillId="13" borderId="4" xfId="0" applyFont="1" applyFill="1" applyBorder="1" applyAlignment="1">
      <alignment horizontal="center" vertical="center"/>
    </xf>
    <xf numFmtId="0" fontId="3" fillId="13" borderId="5" xfId="0" applyFont="1" applyFill="1" applyBorder="1" applyAlignment="1">
      <alignment horizontal="center" vertical="center"/>
    </xf>
    <xf numFmtId="0" fontId="3" fillId="14" borderId="4" xfId="0" applyFont="1" applyFill="1" applyBorder="1" applyAlignment="1">
      <alignment horizontal="center" vertical="center"/>
    </xf>
    <xf numFmtId="0" fontId="3" fillId="14" borderId="5" xfId="0" applyFont="1" applyFill="1" applyBorder="1" applyAlignment="1">
      <alignment horizontal="center" vertical="center"/>
    </xf>
    <xf numFmtId="0" fontId="3" fillId="15" borderId="4" xfId="0" applyFont="1" applyFill="1" applyBorder="1" applyAlignment="1">
      <alignment horizontal="center" vertical="center"/>
    </xf>
    <xf numFmtId="0" fontId="3" fillId="15" borderId="5" xfId="0" applyFont="1" applyFill="1" applyBorder="1" applyAlignment="1">
      <alignment horizontal="center" vertical="center"/>
    </xf>
    <xf numFmtId="0" fontId="3" fillId="16" borderId="4" xfId="0" applyFont="1" applyFill="1" applyBorder="1" applyAlignment="1">
      <alignment horizontal="center" vertical="center"/>
    </xf>
    <xf numFmtId="0" fontId="3" fillId="16" borderId="5" xfId="0" applyFont="1" applyFill="1" applyBorder="1" applyAlignment="1">
      <alignment horizontal="center" vertical="center"/>
    </xf>
    <xf numFmtId="0" fontId="3" fillId="17" borderId="4" xfId="0" applyFont="1" applyFill="1" applyBorder="1" applyAlignment="1">
      <alignment horizontal="center" vertical="center"/>
    </xf>
    <xf numFmtId="0" fontId="3" fillId="17" borderId="5" xfId="0" applyFont="1" applyFill="1" applyBorder="1" applyAlignment="1">
      <alignment horizontal="center" vertical="center"/>
    </xf>
    <xf numFmtId="0" fontId="3" fillId="3" borderId="8" xfId="0" applyFont="1" applyFill="1" applyBorder="1" applyAlignment="1">
      <alignment horizontal="left" vertical="center"/>
    </xf>
    <xf numFmtId="0" fontId="3" fillId="3" borderId="9" xfId="0" applyFont="1" applyFill="1" applyBorder="1" applyAlignment="1">
      <alignment horizontal="center" vertical="center"/>
    </xf>
    <xf numFmtId="0" fontId="3" fillId="3" borderId="10" xfId="0" applyFont="1" applyFill="1" applyBorder="1" applyAlignment="1">
      <alignment horizontal="left" vertical="center"/>
    </xf>
    <xf numFmtId="0" fontId="3" fillId="4" borderId="10" xfId="0" applyFont="1" applyFill="1" applyBorder="1" applyAlignment="1">
      <alignment horizontal="center" vertical="center"/>
    </xf>
    <xf numFmtId="0" fontId="3" fillId="5" borderId="10" xfId="0" applyFont="1" applyFill="1" applyBorder="1" applyAlignment="1">
      <alignment horizontal="center" vertical="center"/>
    </xf>
    <xf numFmtId="0" fontId="3" fillId="11" borderId="10" xfId="0" applyFont="1" applyFill="1" applyBorder="1" applyAlignment="1">
      <alignment horizontal="center" vertical="center"/>
    </xf>
    <xf numFmtId="0" fontId="3" fillId="6" borderId="10" xfId="0" applyFont="1" applyFill="1" applyBorder="1" applyAlignment="1">
      <alignment horizontal="center" vertical="center"/>
    </xf>
    <xf numFmtId="0" fontId="3" fillId="7" borderId="10" xfId="0" applyFont="1" applyFill="1" applyBorder="1" applyAlignment="1">
      <alignment horizontal="center" vertical="center"/>
    </xf>
    <xf numFmtId="0" fontId="3" fillId="8" borderId="10" xfId="0" applyFont="1" applyFill="1" applyBorder="1" applyAlignment="1">
      <alignment horizontal="center" vertical="center"/>
    </xf>
    <xf numFmtId="0" fontId="3" fillId="9" borderId="10" xfId="0" applyFont="1" applyFill="1" applyBorder="1" applyAlignment="1">
      <alignment horizontal="center" vertical="center"/>
    </xf>
    <xf numFmtId="0" fontId="3" fillId="10" borderId="10" xfId="0" applyFont="1" applyFill="1" applyBorder="1" applyAlignment="1">
      <alignment horizontal="center" vertical="center"/>
    </xf>
    <xf numFmtId="0" fontId="3" fillId="14" borderId="10" xfId="0" applyFont="1" applyFill="1" applyBorder="1" applyAlignment="1">
      <alignment horizontal="center" vertical="center"/>
    </xf>
    <xf numFmtId="0" fontId="3" fillId="12" borderId="10" xfId="0" applyFont="1" applyFill="1" applyBorder="1" applyAlignment="1">
      <alignment horizontal="center" vertical="center"/>
    </xf>
    <xf numFmtId="0" fontId="3" fillId="15" borderId="10" xfId="0" applyFont="1" applyFill="1" applyBorder="1" applyAlignment="1">
      <alignment horizontal="center" vertical="center"/>
    </xf>
    <xf numFmtId="0" fontId="3" fillId="16" borderId="10" xfId="0" applyFont="1" applyFill="1" applyBorder="1" applyAlignment="1">
      <alignment horizontal="center" vertical="center"/>
    </xf>
    <xf numFmtId="0" fontId="3" fillId="17" borderId="10" xfId="0" applyFont="1" applyFill="1" applyBorder="1" applyAlignment="1">
      <alignment horizontal="center" vertical="center"/>
    </xf>
    <xf numFmtId="0" fontId="3" fillId="13" borderId="10" xfId="0" applyFont="1" applyFill="1" applyBorder="1" applyAlignment="1">
      <alignment horizontal="center" vertical="center"/>
    </xf>
    <xf numFmtId="0" fontId="12" fillId="18" borderId="2" xfId="0" applyFont="1" applyFill="1" applyBorder="1" applyAlignment="1">
      <alignment horizontal="center" vertical="center"/>
    </xf>
    <xf numFmtId="0" fontId="12" fillId="18" borderId="1" xfId="0" applyFont="1" applyFill="1" applyBorder="1" applyAlignment="1">
      <alignment horizontal="center" vertical="center"/>
    </xf>
    <xf numFmtId="0" fontId="12" fillId="18" borderId="6" xfId="0" applyFont="1" applyFill="1" applyBorder="1" applyAlignment="1">
      <alignment horizontal="center" vertical="center"/>
    </xf>
    <xf numFmtId="0" fontId="12" fillId="18" borderId="0" xfId="0" applyFont="1" applyFill="1" applyAlignment="1">
      <alignment horizontal="center" vertical="center"/>
    </xf>
    <xf numFmtId="0" fontId="3" fillId="4" borderId="7" xfId="0" applyFont="1" applyFill="1" applyBorder="1" applyAlignment="1">
      <alignment horizontal="center" vertical="center"/>
    </xf>
    <xf numFmtId="0" fontId="3" fillId="5" borderId="7" xfId="0" applyFont="1" applyFill="1" applyBorder="1" applyAlignment="1">
      <alignment horizontal="center" vertical="center"/>
    </xf>
    <xf numFmtId="0" fontId="3" fillId="11" borderId="7" xfId="0" applyFont="1" applyFill="1" applyBorder="1" applyAlignment="1">
      <alignment horizontal="center" vertical="center"/>
    </xf>
    <xf numFmtId="0" fontId="3" fillId="6" borderId="7" xfId="0" applyFont="1" applyFill="1" applyBorder="1" applyAlignment="1">
      <alignment horizontal="center" vertical="center"/>
    </xf>
    <xf numFmtId="0" fontId="3" fillId="7" borderId="7" xfId="0" applyFont="1" applyFill="1" applyBorder="1" applyAlignment="1">
      <alignment horizontal="center" vertical="center"/>
    </xf>
    <xf numFmtId="0" fontId="3" fillId="8" borderId="7" xfId="0" applyFont="1" applyFill="1" applyBorder="1" applyAlignment="1">
      <alignment horizontal="center" vertical="center"/>
    </xf>
    <xf numFmtId="0" fontId="3" fillId="9" borderId="7" xfId="0" applyFont="1" applyFill="1" applyBorder="1" applyAlignment="1">
      <alignment horizontal="center" vertical="center"/>
    </xf>
    <xf numFmtId="0" fontId="3" fillId="10" borderId="7" xfId="0" applyFont="1" applyFill="1" applyBorder="1" applyAlignment="1">
      <alignment horizontal="center" vertical="center"/>
    </xf>
    <xf numFmtId="0" fontId="3" fillId="14" borderId="7" xfId="0" applyFont="1" applyFill="1" applyBorder="1" applyAlignment="1">
      <alignment horizontal="center" vertical="center"/>
    </xf>
    <xf numFmtId="0" fontId="3" fillId="12" borderId="7" xfId="0" applyFont="1" applyFill="1" applyBorder="1" applyAlignment="1">
      <alignment horizontal="center" vertical="center"/>
    </xf>
    <xf numFmtId="0" fontId="3" fillId="13" borderId="7" xfId="0" applyFont="1" applyFill="1" applyBorder="1" applyAlignment="1">
      <alignment horizontal="center" vertical="center"/>
    </xf>
    <xf numFmtId="0" fontId="3" fillId="15" borderId="7" xfId="0" applyFont="1" applyFill="1" applyBorder="1" applyAlignment="1">
      <alignment horizontal="center" vertical="center"/>
    </xf>
    <xf numFmtId="0" fontId="3" fillId="16" borderId="7" xfId="0" applyFont="1" applyFill="1" applyBorder="1" applyAlignment="1">
      <alignment horizontal="center" vertical="center"/>
    </xf>
    <xf numFmtId="0" fontId="3" fillId="17" borderId="7" xfId="0" applyFont="1" applyFill="1" applyBorder="1" applyAlignment="1">
      <alignment horizontal="center" vertical="center"/>
    </xf>
    <xf numFmtId="0" fontId="3" fillId="2" borderId="7" xfId="0" applyFont="1" applyFill="1" applyBorder="1" applyAlignment="1">
      <alignment horizontal="left" vertical="center"/>
    </xf>
    <xf numFmtId="0" fontId="0" fillId="0" borderId="0" xfId="0" applyAlignment="1">
      <alignment horizontal="center"/>
    </xf>
    <xf numFmtId="0" fontId="3" fillId="3" borderId="7" xfId="0" applyFont="1" applyFill="1" applyBorder="1" applyAlignment="1">
      <alignment horizontal="left" vertical="center"/>
    </xf>
    <xf numFmtId="0" fontId="3" fillId="2" borderId="10" xfId="0" applyFont="1" applyFill="1" applyBorder="1" applyAlignment="1">
      <alignment horizontal="left" vertical="center"/>
    </xf>
    <xf numFmtId="0" fontId="3" fillId="17" borderId="0" xfId="0" applyFont="1" applyFill="1" applyAlignment="1">
      <alignment horizontal="center" vertical="center"/>
    </xf>
    <xf numFmtId="0" fontId="3" fillId="3" borderId="0" xfId="0" applyFont="1" applyFill="1" applyAlignment="1">
      <alignment horizontal="left" vertical="center"/>
    </xf>
    <xf numFmtId="0" fontId="6" fillId="3" borderId="0" xfId="0" applyFont="1" applyFill="1" applyAlignment="1">
      <alignment horizontal="left"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11"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3" fillId="14" borderId="0" xfId="0" applyFont="1" applyFill="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3" fillId="15" borderId="0" xfId="0" applyFont="1" applyFill="1" applyAlignment="1">
      <alignment horizontal="center" vertical="center"/>
    </xf>
    <xf numFmtId="0" fontId="3" fillId="16" borderId="0" xfId="0" applyFont="1" applyFill="1" applyAlignment="1">
      <alignment horizontal="center" vertical="center"/>
    </xf>
    <xf numFmtId="0" fontId="6" fillId="2" borderId="7" xfId="0" applyFont="1" applyFill="1" applyBorder="1" applyAlignment="1">
      <alignment horizontal="left" vertical="center"/>
    </xf>
    <xf numFmtId="0" fontId="6" fillId="2" borderId="0" xfId="0" applyFont="1" applyFill="1" applyAlignment="1">
      <alignment horizontal="left" vertical="center"/>
    </xf>
    <xf numFmtId="0" fontId="6" fillId="3" borderId="7" xfId="0" applyFont="1" applyFill="1" applyBorder="1" applyAlignment="1">
      <alignment horizontal="left" vertical="center"/>
    </xf>
    <xf numFmtId="0" fontId="1" fillId="3" borderId="7" xfId="1" applyFill="1" applyBorder="1" applyAlignment="1">
      <alignment horizontal="left" vertical="center"/>
    </xf>
    <xf numFmtId="0" fontId="7" fillId="2" borderId="0" xfId="0" applyFont="1" applyFill="1" applyAlignment="1">
      <alignment horizontal="left" vertical="center"/>
    </xf>
    <xf numFmtId="0" fontId="6" fillId="3" borderId="11" xfId="0" applyFont="1" applyFill="1" applyBorder="1" applyAlignment="1">
      <alignment horizontal="left" vertical="center"/>
    </xf>
    <xf numFmtId="0" fontId="3" fillId="0" borderId="13" xfId="0" applyFont="1" applyBorder="1" applyAlignment="1">
      <alignment horizontal="left" vertical="top"/>
    </xf>
    <xf numFmtId="0" fontId="3" fillId="0" borderId="0" xfId="0" applyFont="1" applyAlignment="1">
      <alignment horizontal="left" vertical="top"/>
    </xf>
    <xf numFmtId="0" fontId="3" fillId="3"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wrapText="1"/>
    </xf>
    <xf numFmtId="0" fontId="3" fillId="2" borderId="7" xfId="0" applyFont="1" applyFill="1" applyBorder="1" applyAlignment="1">
      <alignment horizontal="center" vertical="center" wrapText="1"/>
    </xf>
    <xf numFmtId="0" fontId="0" fillId="0" borderId="0" xfId="0" applyAlignment="1">
      <alignment horizontal="center" vertical="center" wrapText="1"/>
    </xf>
    <xf numFmtId="0" fontId="3" fillId="2"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5" borderId="4"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3" fillId="17" borderId="4"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 fillId="2" borderId="12" xfId="1" applyFill="1" applyBorder="1" applyAlignment="1">
      <alignment horizontal="center" vertical="center" wrapText="1"/>
    </xf>
    <xf numFmtId="0" fontId="14" fillId="0" borderId="0" xfId="0" applyFont="1"/>
    <xf numFmtId="0" fontId="0" fillId="0" borderId="0" xfId="0" applyAlignment="1">
      <alignment horizontal="center" vertical="center"/>
    </xf>
    <xf numFmtId="0" fontId="0" fillId="0" borderId="19"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xf>
    <xf numFmtId="0" fontId="0" fillId="0" borderId="13" xfId="0" applyBorder="1" applyAlignment="1">
      <alignment horizontal="center" vertical="center" wrapText="1"/>
    </xf>
    <xf numFmtId="0" fontId="16" fillId="0" borderId="18" xfId="0" applyFont="1" applyBorder="1" applyAlignment="1">
      <alignment horizontal="center" vertical="center" wrapText="1"/>
    </xf>
    <xf numFmtId="0" fontId="18" fillId="0" borderId="0" xfId="0" applyFont="1" applyAlignment="1">
      <alignment horizontal="center" vertical="center"/>
    </xf>
    <xf numFmtId="0" fontId="19" fillId="18" borderId="20" xfId="0" applyFont="1" applyFill="1" applyBorder="1" applyAlignment="1">
      <alignment horizontal="center" vertical="center"/>
    </xf>
    <xf numFmtId="0" fontId="19" fillId="18" borderId="22" xfId="0" applyFont="1" applyFill="1" applyBorder="1" applyAlignment="1">
      <alignment horizontal="center" vertical="center" wrapText="1"/>
    </xf>
    <xf numFmtId="0" fontId="20" fillId="18" borderId="23" xfId="0" applyFont="1" applyFill="1" applyBorder="1" applyAlignment="1">
      <alignment horizontal="center" vertical="center" wrapText="1"/>
    </xf>
    <xf numFmtId="0" fontId="1" fillId="0" borderId="26" xfId="1" applyBorder="1" applyAlignment="1">
      <alignment horizontal="center" vertical="center" wrapText="1"/>
    </xf>
    <xf numFmtId="0" fontId="1" fillId="0" borderId="0" xfId="1" applyAlignment="1">
      <alignment horizontal="center" vertical="center" wrapText="1"/>
    </xf>
    <xf numFmtId="0" fontId="3" fillId="3" borderId="4" xfId="0" applyFont="1" applyFill="1" applyBorder="1" applyAlignment="1">
      <alignment horizontal="center" vertical="center"/>
    </xf>
    <xf numFmtId="0" fontId="3" fillId="0" borderId="0" xfId="0" applyFont="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5" xfId="0" applyFont="1" applyFill="1" applyBorder="1" applyAlignment="1">
      <alignment horizontal="center" vertical="center"/>
    </xf>
    <xf numFmtId="0" fontId="3" fillId="20" borderId="0" xfId="0" applyFont="1" applyFill="1" applyAlignment="1">
      <alignment horizontal="center" vertical="center"/>
    </xf>
    <xf numFmtId="0" fontId="6" fillId="2" borderId="0" xfId="0" applyFont="1" applyFill="1" applyAlignment="1">
      <alignment horizontal="center" vertical="center"/>
    </xf>
    <xf numFmtId="0" fontId="6" fillId="3" borderId="7" xfId="0" applyFont="1" applyFill="1" applyBorder="1" applyAlignment="1">
      <alignment horizontal="center" vertical="center"/>
    </xf>
    <xf numFmtId="0" fontId="6" fillId="3" borderId="0" xfId="0" applyFont="1" applyFill="1" applyAlignment="1">
      <alignment horizontal="center" vertical="center"/>
    </xf>
    <xf numFmtId="0" fontId="6" fillId="2" borderId="7" xfId="0" applyFont="1" applyFill="1" applyBorder="1" applyAlignment="1">
      <alignment horizontal="center" vertical="center"/>
    </xf>
    <xf numFmtId="0" fontId="3" fillId="0" borderId="13" xfId="0" applyFont="1" applyBorder="1" applyAlignment="1">
      <alignment horizontal="center" vertical="center"/>
    </xf>
    <xf numFmtId="0" fontId="3" fillId="0" borderId="0" xfId="0" applyFont="1" applyAlignment="1">
      <alignment horizontal="left" vertical="center"/>
    </xf>
    <xf numFmtId="0" fontId="3" fillId="3" borderId="11" xfId="0" applyFont="1" applyFill="1" applyBorder="1" applyAlignment="1">
      <alignment horizontal="left" vertical="center"/>
    </xf>
    <xf numFmtId="0" fontId="10" fillId="0" borderId="4" xfId="0" applyFont="1" applyBorder="1"/>
    <xf numFmtId="0" fontId="10" fillId="0" borderId="7" xfId="0" applyFont="1" applyBorder="1"/>
    <xf numFmtId="0" fontId="9" fillId="0" borderId="7" xfId="0" applyFont="1" applyBorder="1"/>
    <xf numFmtId="0" fontId="0" fillId="0" borderId="0" xfId="0" applyAlignment="1">
      <alignment vertical="center"/>
    </xf>
    <xf numFmtId="0" fontId="0" fillId="0" borderId="0" xfId="0" applyAlignment="1">
      <alignment horizontal="left"/>
    </xf>
    <xf numFmtId="0" fontId="3" fillId="6" borderId="27" xfId="0" applyFont="1" applyFill="1" applyBorder="1" applyAlignment="1">
      <alignment horizontal="center" vertical="center"/>
    </xf>
    <xf numFmtId="0" fontId="3" fillId="7" borderId="27" xfId="0" applyFont="1" applyFill="1" applyBorder="1" applyAlignment="1">
      <alignment horizontal="center" vertical="center"/>
    </xf>
    <xf numFmtId="0" fontId="3" fillId="9" borderId="27" xfId="0" applyFont="1" applyFill="1" applyBorder="1" applyAlignment="1">
      <alignment horizontal="center" vertical="center"/>
    </xf>
    <xf numFmtId="0" fontId="15" fillId="0" borderId="27" xfId="0" applyFont="1" applyBorder="1" applyAlignment="1">
      <alignment horizontal="left" vertical="center"/>
    </xf>
    <xf numFmtId="0" fontId="3" fillId="20" borderId="27" xfId="0" applyFont="1" applyFill="1" applyBorder="1" applyAlignment="1">
      <alignment horizontal="left" vertical="center"/>
    </xf>
    <xf numFmtId="0" fontId="3" fillId="0" borderId="27" xfId="0" applyFont="1" applyBorder="1" applyAlignment="1">
      <alignment horizontal="left" vertical="center"/>
    </xf>
    <xf numFmtId="0" fontId="22" fillId="0" borderId="0" xfId="0" applyFont="1" applyAlignment="1">
      <alignment horizontal="center" vertical="center"/>
    </xf>
    <xf numFmtId="0" fontId="3" fillId="19" borderId="27" xfId="0" applyFont="1" applyFill="1" applyBorder="1" applyAlignment="1">
      <alignment horizontal="center" vertical="center"/>
    </xf>
    <xf numFmtId="0" fontId="3" fillId="22" borderId="27" xfId="0" applyFont="1" applyFill="1" applyBorder="1" applyAlignment="1">
      <alignment horizontal="center" vertical="center"/>
    </xf>
    <xf numFmtId="0" fontId="8" fillId="19" borderId="27" xfId="0" applyFont="1" applyFill="1" applyBorder="1" applyAlignment="1">
      <alignment horizontal="center" vertical="center"/>
    </xf>
    <xf numFmtId="0" fontId="3" fillId="21" borderId="27" xfId="0" applyFont="1" applyFill="1" applyBorder="1" applyAlignment="1">
      <alignment horizontal="center" vertical="center"/>
    </xf>
    <xf numFmtId="0" fontId="8" fillId="22" borderId="27" xfId="0" applyFont="1" applyFill="1" applyBorder="1" applyAlignment="1">
      <alignment horizontal="center" vertical="center"/>
    </xf>
    <xf numFmtId="0" fontId="22" fillId="23" borderId="2" xfId="0" applyFont="1" applyFill="1" applyBorder="1" applyAlignment="1">
      <alignment horizontal="center" vertical="center" textRotation="90"/>
    </xf>
    <xf numFmtId="0" fontId="3" fillId="23" borderId="27" xfId="0" applyFont="1" applyFill="1" applyBorder="1" applyAlignment="1">
      <alignment horizontal="center" vertical="center"/>
    </xf>
    <xf numFmtId="0" fontId="22" fillId="24" borderId="2" xfId="0" applyFont="1" applyFill="1" applyBorder="1" applyAlignment="1">
      <alignment horizontal="center" vertical="center" textRotation="90"/>
    </xf>
    <xf numFmtId="0" fontId="3" fillId="24" borderId="27" xfId="0" applyFont="1" applyFill="1" applyBorder="1" applyAlignment="1">
      <alignment horizontal="center" vertical="center"/>
    </xf>
    <xf numFmtId="9" fontId="13" fillId="26" borderId="27" xfId="0" applyNumberFormat="1" applyFont="1" applyFill="1" applyBorder="1" applyAlignment="1">
      <alignment horizontal="center" vertical="center"/>
    </xf>
    <xf numFmtId="0" fontId="13" fillId="0" borderId="0" xfId="0" applyFont="1" applyAlignment="1">
      <alignment horizontal="center" vertical="center"/>
    </xf>
    <xf numFmtId="0" fontId="23" fillId="27" borderId="2" xfId="0" applyFont="1" applyFill="1" applyBorder="1" applyAlignment="1">
      <alignment horizontal="center" vertical="center" textRotation="90"/>
    </xf>
    <xf numFmtId="9" fontId="13" fillId="28" borderId="27" xfId="0" applyNumberFormat="1" applyFont="1" applyFill="1" applyBorder="1" applyAlignment="1">
      <alignment horizontal="center" vertical="center"/>
    </xf>
    <xf numFmtId="0" fontId="22" fillId="29" borderId="2" xfId="0" applyFont="1" applyFill="1" applyBorder="1" applyAlignment="1">
      <alignment horizontal="center" vertical="center" textRotation="90"/>
    </xf>
    <xf numFmtId="0" fontId="3" fillId="29" borderId="27" xfId="0" applyFont="1" applyFill="1" applyBorder="1" applyAlignment="1">
      <alignment horizontal="center" vertical="center"/>
    </xf>
    <xf numFmtId="0" fontId="22" fillId="7" borderId="2" xfId="0" applyFont="1" applyFill="1" applyBorder="1" applyAlignment="1">
      <alignment horizontal="center" vertical="center" textRotation="90"/>
    </xf>
    <xf numFmtId="0" fontId="22" fillId="30" borderId="2" xfId="0" applyFont="1" applyFill="1" applyBorder="1" applyAlignment="1">
      <alignment horizontal="center" vertical="center" textRotation="90"/>
    </xf>
    <xf numFmtId="9" fontId="13" fillId="30" borderId="27" xfId="0" applyNumberFormat="1" applyFont="1" applyFill="1" applyBorder="1" applyAlignment="1">
      <alignment horizontal="center" vertical="center"/>
    </xf>
    <xf numFmtId="0" fontId="3" fillId="31" borderId="27" xfId="0" applyFont="1" applyFill="1" applyBorder="1" applyAlignment="1">
      <alignment horizontal="center" vertical="center"/>
    </xf>
    <xf numFmtId="0" fontId="22" fillId="6" borderId="2" xfId="0" applyFont="1" applyFill="1" applyBorder="1" applyAlignment="1">
      <alignment horizontal="center" vertical="center" textRotation="90"/>
    </xf>
    <xf numFmtId="0" fontId="22" fillId="32" borderId="2" xfId="0" applyFont="1" applyFill="1" applyBorder="1" applyAlignment="1">
      <alignment horizontal="center" vertical="center" textRotation="90"/>
    </xf>
    <xf numFmtId="0" fontId="3" fillId="32" borderId="27" xfId="0" applyFont="1" applyFill="1" applyBorder="1" applyAlignment="1">
      <alignment horizontal="center" vertical="center"/>
    </xf>
    <xf numFmtId="0" fontId="22" fillId="33" borderId="2" xfId="0" applyFont="1" applyFill="1" applyBorder="1" applyAlignment="1">
      <alignment horizontal="center" vertical="center" textRotation="90"/>
    </xf>
    <xf numFmtId="0" fontId="3" fillId="33" borderId="27" xfId="0" applyFont="1" applyFill="1" applyBorder="1" applyAlignment="1">
      <alignment horizontal="center" vertical="center"/>
    </xf>
    <xf numFmtId="0" fontId="22" fillId="34" borderId="2" xfId="0" applyFont="1" applyFill="1" applyBorder="1" applyAlignment="1">
      <alignment horizontal="center" vertical="center" textRotation="90"/>
    </xf>
    <xf numFmtId="0" fontId="3" fillId="34" borderId="27" xfId="0" applyFont="1" applyFill="1" applyBorder="1" applyAlignment="1">
      <alignment horizontal="center" vertical="center"/>
    </xf>
    <xf numFmtId="0" fontId="22" fillId="35" borderId="2" xfId="0" applyFont="1" applyFill="1" applyBorder="1" applyAlignment="1">
      <alignment horizontal="center" vertical="center" textRotation="90"/>
    </xf>
    <xf numFmtId="9" fontId="13" fillId="35" borderId="27" xfId="0" applyNumberFormat="1" applyFont="1" applyFill="1" applyBorder="1" applyAlignment="1">
      <alignment horizontal="center" vertical="center"/>
    </xf>
    <xf numFmtId="0" fontId="22" fillId="9" borderId="2" xfId="0" applyFont="1" applyFill="1" applyBorder="1" applyAlignment="1">
      <alignment horizontal="center" vertical="center" textRotation="90"/>
    </xf>
    <xf numFmtId="0" fontId="22" fillId="36" borderId="2" xfId="0" applyFont="1" applyFill="1" applyBorder="1" applyAlignment="1">
      <alignment horizontal="center" vertical="center" textRotation="90"/>
    </xf>
    <xf numFmtId="0" fontId="3" fillId="36" borderId="27" xfId="0" applyFont="1" applyFill="1" applyBorder="1" applyAlignment="1">
      <alignment horizontal="center" vertical="center"/>
    </xf>
    <xf numFmtId="0" fontId="22" fillId="37" borderId="2" xfId="0" applyFont="1" applyFill="1" applyBorder="1" applyAlignment="1">
      <alignment horizontal="center" vertical="center" textRotation="90"/>
    </xf>
    <xf numFmtId="0" fontId="3" fillId="37" borderId="27" xfId="0" applyFont="1" applyFill="1" applyBorder="1" applyAlignment="1">
      <alignment horizontal="center" vertical="center"/>
    </xf>
    <xf numFmtId="0" fontId="22" fillId="38" borderId="2" xfId="0" applyFont="1" applyFill="1" applyBorder="1" applyAlignment="1">
      <alignment horizontal="center" vertical="center" textRotation="90"/>
    </xf>
    <xf numFmtId="0" fontId="3" fillId="38" borderId="27" xfId="0" applyFont="1" applyFill="1" applyBorder="1" applyAlignment="1">
      <alignment horizontal="center" vertical="center"/>
    </xf>
    <xf numFmtId="0" fontId="3" fillId="39" borderId="27" xfId="0" applyFont="1" applyFill="1" applyBorder="1" applyAlignment="1">
      <alignment horizontal="center" vertical="center"/>
    </xf>
    <xf numFmtId="0" fontId="3" fillId="41" borderId="27" xfId="0" applyFont="1" applyFill="1" applyBorder="1" applyAlignment="1">
      <alignment horizontal="center" vertical="center"/>
    </xf>
    <xf numFmtId="0" fontId="3" fillId="42" borderId="27" xfId="0" applyFont="1" applyFill="1" applyBorder="1" applyAlignment="1">
      <alignment horizontal="center" vertical="center"/>
    </xf>
    <xf numFmtId="0" fontId="3" fillId="40" borderId="27" xfId="0" applyFont="1" applyFill="1" applyBorder="1" applyAlignment="1">
      <alignment horizontal="center" vertical="center"/>
    </xf>
    <xf numFmtId="0" fontId="24" fillId="40" borderId="2" xfId="0" applyFont="1" applyFill="1" applyBorder="1" applyAlignment="1">
      <alignment horizontal="center" vertical="center" textRotation="90"/>
    </xf>
    <xf numFmtId="0" fontId="24" fillId="39" borderId="2" xfId="0" applyFont="1" applyFill="1" applyBorder="1" applyAlignment="1">
      <alignment horizontal="center" vertical="center" textRotation="90"/>
    </xf>
    <xf numFmtId="0" fontId="22" fillId="43" borderId="1" xfId="0" applyFont="1" applyFill="1" applyBorder="1" applyAlignment="1">
      <alignment horizontal="center" vertical="center"/>
    </xf>
    <xf numFmtId="0" fontId="22" fillId="43" borderId="2" xfId="0" applyFont="1" applyFill="1" applyBorder="1" applyAlignment="1">
      <alignment horizontal="center" vertical="center"/>
    </xf>
    <xf numFmtId="0" fontId="22" fillId="43" borderId="0" xfId="0" applyFont="1" applyFill="1" applyAlignment="1">
      <alignment horizontal="left" vertical="center"/>
    </xf>
    <xf numFmtId="0" fontId="3" fillId="44" borderId="27" xfId="0" applyFont="1" applyFill="1" applyBorder="1" applyAlignment="1">
      <alignment horizontal="left" vertical="center"/>
    </xf>
    <xf numFmtId="0" fontId="7" fillId="44" borderId="27" xfId="0" applyFont="1" applyFill="1" applyBorder="1" applyAlignment="1">
      <alignment horizontal="left" vertical="center"/>
    </xf>
    <xf numFmtId="0" fontId="3" fillId="45" borderId="27" xfId="0" applyFont="1" applyFill="1" applyBorder="1" applyAlignment="1">
      <alignment horizontal="left" vertical="center"/>
    </xf>
    <xf numFmtId="0" fontId="7" fillId="45" borderId="27" xfId="0" applyFont="1" applyFill="1" applyBorder="1" applyAlignment="1">
      <alignment horizontal="left" vertical="center"/>
    </xf>
    <xf numFmtId="0" fontId="11" fillId="45" borderId="27" xfId="0" applyFont="1" applyFill="1" applyBorder="1" applyAlignment="1">
      <alignment horizontal="left" vertical="center"/>
    </xf>
    <xf numFmtId="0" fontId="4" fillId="45" borderId="27" xfId="0" applyFont="1" applyFill="1" applyBorder="1" applyAlignment="1">
      <alignment horizontal="left" vertical="center"/>
    </xf>
    <xf numFmtId="0" fontId="21" fillId="44" borderId="27" xfId="1" applyFont="1" applyFill="1" applyBorder="1" applyAlignment="1">
      <alignment horizontal="left" vertical="center"/>
    </xf>
    <xf numFmtId="0" fontId="4" fillId="44" borderId="27" xfId="0" applyFont="1" applyFill="1" applyBorder="1" applyAlignment="1">
      <alignment horizontal="left" vertical="center"/>
    </xf>
    <xf numFmtId="0" fontId="22" fillId="43" borderId="27" xfId="0" applyFont="1" applyFill="1" applyBorder="1" applyAlignment="1">
      <alignment horizontal="center" vertical="center"/>
    </xf>
    <xf numFmtId="0" fontId="23" fillId="25" borderId="6" xfId="0" applyFont="1" applyFill="1" applyBorder="1" applyAlignment="1">
      <alignment horizontal="center" vertical="center" textRotation="90"/>
    </xf>
    <xf numFmtId="0" fontId="22" fillId="46" borderId="0" xfId="0" applyFont="1" applyFill="1" applyAlignment="1">
      <alignment horizontal="center" vertical="center"/>
    </xf>
    <xf numFmtId="9" fontId="12" fillId="47" borderId="27" xfId="0" applyNumberFormat="1" applyFont="1" applyFill="1" applyBorder="1" applyAlignment="1">
      <alignment horizontal="center" vertical="center"/>
    </xf>
    <xf numFmtId="0" fontId="25" fillId="31" borderId="2" xfId="0" applyFont="1" applyFill="1" applyBorder="1" applyAlignment="1">
      <alignment horizontal="center" vertical="center" textRotation="90"/>
    </xf>
    <xf numFmtId="0" fontId="25" fillId="21" borderId="2" xfId="0" applyFont="1" applyFill="1" applyBorder="1" applyAlignment="1">
      <alignment horizontal="center" vertical="center" textRotation="90"/>
    </xf>
    <xf numFmtId="0" fontId="12" fillId="18" borderId="16" xfId="0" applyFont="1" applyFill="1" applyBorder="1" applyAlignment="1">
      <alignment horizontal="center" vertical="center" wrapText="1"/>
    </xf>
    <xf numFmtId="0" fontId="6" fillId="3" borderId="14"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1" fillId="3" borderId="12" xfId="1" applyFill="1" applyBorder="1" applyAlignment="1">
      <alignment horizontal="left" vertical="center" wrapText="1"/>
    </xf>
    <xf numFmtId="0" fontId="7" fillId="2" borderId="14" xfId="0" applyFont="1" applyFill="1" applyBorder="1" applyAlignment="1">
      <alignment horizontal="left" vertical="center" wrapText="1"/>
    </xf>
    <xf numFmtId="0" fontId="6" fillId="3" borderId="15"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14"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0" fillId="0" borderId="0" xfId="0" applyAlignment="1">
      <alignment vertical="center" wrapText="1"/>
    </xf>
    <xf numFmtId="0" fontId="12" fillId="18" borderId="2"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0" xfId="0" applyFont="1" applyFill="1" applyAlignment="1">
      <alignment horizontal="left" vertical="center" wrapText="1"/>
    </xf>
    <xf numFmtId="0" fontId="3" fillId="3" borderId="10" xfId="0" applyFont="1" applyFill="1" applyBorder="1" applyAlignment="1">
      <alignment horizontal="left" vertical="center" wrapText="1"/>
    </xf>
    <xf numFmtId="0" fontId="3" fillId="3" borderId="0" xfId="0" applyFont="1" applyFill="1" applyAlignment="1">
      <alignment horizontal="left" vertical="center" wrapText="1"/>
    </xf>
    <xf numFmtId="0" fontId="0" fillId="0" borderId="0" xfId="0" applyAlignment="1">
      <alignment wrapText="1"/>
    </xf>
    <xf numFmtId="0" fontId="1" fillId="0" borderId="0" xfId="1" applyAlignment="1">
      <alignment vertical="center"/>
    </xf>
    <xf numFmtId="0" fontId="3" fillId="0" borderId="13" xfId="0" applyFont="1" applyBorder="1" applyAlignment="1">
      <alignment horizontal="left" vertical="center"/>
    </xf>
    <xf numFmtId="0" fontId="7" fillId="45" borderId="28" xfId="0" applyFont="1" applyFill="1" applyBorder="1" applyAlignment="1">
      <alignment horizontal="left" vertical="center"/>
    </xf>
    <xf numFmtId="0" fontId="3" fillId="44" borderId="29" xfId="0" applyFont="1" applyFill="1" applyBorder="1" applyAlignment="1">
      <alignment horizontal="left" vertical="center"/>
    </xf>
    <xf numFmtId="0" fontId="3" fillId="2" borderId="18" xfId="0" applyFont="1" applyFill="1" applyBorder="1" applyAlignment="1">
      <alignment horizontal="left" vertical="center"/>
    </xf>
    <xf numFmtId="0" fontId="3" fillId="0" borderId="30" xfId="0" applyFont="1" applyBorder="1" applyAlignment="1">
      <alignment horizontal="left" vertical="center"/>
    </xf>
    <xf numFmtId="0" fontId="7" fillId="44" borderId="18" xfId="0" applyFont="1" applyFill="1" applyBorder="1" applyAlignment="1">
      <alignment horizontal="left" vertical="center"/>
    </xf>
    <xf numFmtId="0" fontId="3" fillId="2" borderId="31" xfId="0" applyFont="1" applyFill="1" applyBorder="1" applyAlignment="1">
      <alignment horizontal="left" vertical="center"/>
    </xf>
    <xf numFmtId="0" fontId="7" fillId="45" borderId="32" xfId="0" applyFont="1" applyFill="1" applyBorder="1" applyAlignment="1">
      <alignment horizontal="left" vertical="center"/>
    </xf>
    <xf numFmtId="0" fontId="7" fillId="44" borderId="29" xfId="0" applyFont="1" applyFill="1" applyBorder="1" applyAlignment="1">
      <alignment horizontal="left" vertical="center"/>
    </xf>
    <xf numFmtId="0" fontId="0" fillId="0" borderId="29" xfId="0" applyBorder="1" applyAlignment="1">
      <alignment vertical="center"/>
    </xf>
    <xf numFmtId="0" fontId="7" fillId="45" borderId="18" xfId="0" applyFont="1" applyFill="1" applyBorder="1" applyAlignment="1">
      <alignment horizontal="left" vertical="center"/>
    </xf>
    <xf numFmtId="0" fontId="0" fillId="0" borderId="18" xfId="0" applyBorder="1" applyAlignment="1">
      <alignment vertical="center"/>
    </xf>
    <xf numFmtId="0" fontId="3" fillId="0" borderId="18" xfId="0" applyFont="1" applyBorder="1" applyAlignment="1">
      <alignment horizontal="left" vertical="center"/>
    </xf>
    <xf numFmtId="9" fontId="12" fillId="47" borderId="18" xfId="0" applyNumberFormat="1" applyFont="1" applyFill="1" applyBorder="1" applyAlignment="1">
      <alignment horizontal="center" vertical="center"/>
    </xf>
    <xf numFmtId="9" fontId="13" fillId="26" borderId="18" xfId="0" applyNumberFormat="1" applyFont="1" applyFill="1" applyBorder="1" applyAlignment="1">
      <alignment horizontal="center" vertical="center"/>
    </xf>
    <xf numFmtId="0" fontId="3" fillId="22" borderId="18" xfId="0" applyFont="1" applyFill="1" applyBorder="1" applyAlignment="1">
      <alignment horizontal="center" vertical="center"/>
    </xf>
    <xf numFmtId="0" fontId="3" fillId="23" borderId="18" xfId="0" applyFont="1" applyFill="1" applyBorder="1" applyAlignment="1">
      <alignment horizontal="center" vertical="center"/>
    </xf>
    <xf numFmtId="0" fontId="3" fillId="24" borderId="18" xfId="0" applyFont="1" applyFill="1" applyBorder="1" applyAlignment="1">
      <alignment horizontal="center" vertical="center"/>
    </xf>
    <xf numFmtId="9" fontId="13" fillId="28" borderId="18" xfId="0" applyNumberFormat="1" applyFont="1" applyFill="1" applyBorder="1" applyAlignment="1">
      <alignment horizontal="center" vertical="center"/>
    </xf>
    <xf numFmtId="0" fontId="3" fillId="29" borderId="18" xfId="0" applyFont="1" applyFill="1" applyBorder="1" applyAlignment="1">
      <alignment horizontal="center" vertical="center"/>
    </xf>
    <xf numFmtId="0" fontId="3" fillId="7" borderId="18" xfId="0" applyFont="1" applyFill="1" applyBorder="1" applyAlignment="1">
      <alignment horizontal="center" vertical="center"/>
    </xf>
    <xf numFmtId="0" fontId="3" fillId="34" borderId="18" xfId="0" applyFont="1" applyFill="1" applyBorder="1" applyAlignment="1">
      <alignment horizontal="center" vertical="center"/>
    </xf>
    <xf numFmtId="9" fontId="13" fillId="30" borderId="18" xfId="0" applyNumberFormat="1" applyFont="1" applyFill="1" applyBorder="1" applyAlignment="1">
      <alignment horizontal="center" vertical="center"/>
    </xf>
    <xf numFmtId="0" fontId="3" fillId="31" borderId="18" xfId="0" applyFont="1" applyFill="1" applyBorder="1" applyAlignment="1">
      <alignment horizontal="center" vertical="center"/>
    </xf>
    <xf numFmtId="0" fontId="3" fillId="6" borderId="18" xfId="0" applyFont="1" applyFill="1" applyBorder="1" applyAlignment="1">
      <alignment horizontal="center" vertical="center"/>
    </xf>
    <xf numFmtId="0" fontId="3" fillId="32" borderId="18" xfId="0" applyFont="1" applyFill="1" applyBorder="1" applyAlignment="1">
      <alignment horizontal="center" vertical="center"/>
    </xf>
    <xf numFmtId="0" fontId="3" fillId="33" borderId="18" xfId="0" applyFont="1" applyFill="1" applyBorder="1" applyAlignment="1">
      <alignment horizontal="center" vertical="center"/>
    </xf>
    <xf numFmtId="9" fontId="13" fillId="35" borderId="18" xfId="0" applyNumberFormat="1" applyFont="1" applyFill="1" applyBorder="1" applyAlignment="1">
      <alignment horizontal="center" vertical="center"/>
    </xf>
    <xf numFmtId="0" fontId="3" fillId="9" borderId="18" xfId="0" applyFont="1" applyFill="1" applyBorder="1" applyAlignment="1">
      <alignment horizontal="center" vertical="center"/>
    </xf>
    <xf numFmtId="0" fontId="3" fillId="36" borderId="18" xfId="0" applyFont="1" applyFill="1" applyBorder="1" applyAlignment="1">
      <alignment horizontal="center" vertical="center"/>
    </xf>
    <xf numFmtId="0" fontId="3" fillId="37" borderId="18" xfId="0" applyFont="1" applyFill="1" applyBorder="1" applyAlignment="1">
      <alignment horizontal="center" vertical="center"/>
    </xf>
    <xf numFmtId="0" fontId="3" fillId="38" borderId="18" xfId="0" applyFont="1" applyFill="1" applyBorder="1" applyAlignment="1">
      <alignment horizontal="center" vertical="center"/>
    </xf>
    <xf numFmtId="0" fontId="3" fillId="39" borderId="18" xfId="0" applyFont="1" applyFill="1" applyBorder="1" applyAlignment="1">
      <alignment horizontal="center" vertical="center"/>
    </xf>
    <xf numFmtId="0" fontId="3" fillId="42" borderId="18" xfId="0" applyFont="1" applyFill="1" applyBorder="1" applyAlignment="1">
      <alignment horizontal="center" vertical="center"/>
    </xf>
    <xf numFmtId="0" fontId="3" fillId="0" borderId="18" xfId="0" applyFont="1" applyBorder="1" applyAlignment="1">
      <alignment horizontal="center" vertical="center"/>
    </xf>
    <xf numFmtId="0" fontId="7" fillId="44" borderId="31" xfId="0" applyFont="1" applyFill="1" applyBorder="1" applyAlignment="1">
      <alignment horizontal="left" vertical="center"/>
    </xf>
    <xf numFmtId="9" fontId="12" fillId="47" borderId="29" xfId="0" applyNumberFormat="1" applyFont="1" applyFill="1" applyBorder="1" applyAlignment="1">
      <alignment horizontal="center" vertical="center"/>
    </xf>
    <xf numFmtId="9" fontId="13" fillId="26" borderId="29" xfId="0" applyNumberFormat="1" applyFont="1" applyFill="1" applyBorder="1" applyAlignment="1">
      <alignment horizontal="center" vertical="center"/>
    </xf>
    <xf numFmtId="0" fontId="3" fillId="22" borderId="29" xfId="0" applyFont="1" applyFill="1" applyBorder="1" applyAlignment="1">
      <alignment horizontal="center" vertical="center"/>
    </xf>
    <xf numFmtId="0" fontId="3" fillId="23" borderId="29" xfId="0" applyFont="1" applyFill="1" applyBorder="1" applyAlignment="1">
      <alignment horizontal="center" vertical="center"/>
    </xf>
    <xf numFmtId="0" fontId="3" fillId="24" borderId="29" xfId="0" applyFont="1" applyFill="1" applyBorder="1" applyAlignment="1">
      <alignment horizontal="center" vertical="center"/>
    </xf>
    <xf numFmtId="9" fontId="13" fillId="28" borderId="29" xfId="0" applyNumberFormat="1" applyFont="1" applyFill="1" applyBorder="1" applyAlignment="1">
      <alignment horizontal="center" vertical="center"/>
    </xf>
    <xf numFmtId="0" fontId="3" fillId="29" borderId="29" xfId="0" applyFont="1" applyFill="1" applyBorder="1" applyAlignment="1">
      <alignment horizontal="center" vertical="center"/>
    </xf>
    <xf numFmtId="0" fontId="3" fillId="7" borderId="29" xfId="0" applyFont="1" applyFill="1" applyBorder="1" applyAlignment="1">
      <alignment horizontal="center" vertical="center"/>
    </xf>
    <xf numFmtId="0" fontId="3" fillId="34" borderId="29" xfId="0" applyFont="1" applyFill="1" applyBorder="1" applyAlignment="1">
      <alignment horizontal="center" vertical="center"/>
    </xf>
    <xf numFmtId="9" fontId="13" fillId="30" borderId="29" xfId="0" applyNumberFormat="1" applyFont="1" applyFill="1" applyBorder="1" applyAlignment="1">
      <alignment horizontal="center" vertical="center"/>
    </xf>
    <xf numFmtId="0" fontId="3" fillId="31" borderId="29" xfId="0" applyFont="1" applyFill="1" applyBorder="1" applyAlignment="1">
      <alignment horizontal="center" vertical="center"/>
    </xf>
    <xf numFmtId="0" fontId="3" fillId="6" borderId="29" xfId="0" applyFont="1" applyFill="1" applyBorder="1" applyAlignment="1">
      <alignment horizontal="center" vertical="center"/>
    </xf>
    <xf numFmtId="0" fontId="3" fillId="32" borderId="29" xfId="0" applyFont="1" applyFill="1" applyBorder="1" applyAlignment="1">
      <alignment horizontal="center" vertical="center"/>
    </xf>
    <xf numFmtId="0" fontId="3" fillId="33" borderId="29" xfId="0" applyFont="1" applyFill="1" applyBorder="1" applyAlignment="1">
      <alignment horizontal="center" vertical="center"/>
    </xf>
    <xf numFmtId="9" fontId="13" fillId="35" borderId="29" xfId="0" applyNumberFormat="1" applyFont="1" applyFill="1" applyBorder="1" applyAlignment="1">
      <alignment horizontal="center" vertical="center"/>
    </xf>
    <xf numFmtId="0" fontId="3" fillId="9" borderId="29" xfId="0" applyFont="1" applyFill="1" applyBorder="1" applyAlignment="1">
      <alignment horizontal="center" vertical="center"/>
    </xf>
    <xf numFmtId="0" fontId="3" fillId="36" borderId="29" xfId="0" applyFont="1" applyFill="1" applyBorder="1" applyAlignment="1">
      <alignment horizontal="center" vertical="center"/>
    </xf>
    <xf numFmtId="0" fontId="3" fillId="37" borderId="29" xfId="0" applyFont="1" applyFill="1" applyBorder="1" applyAlignment="1">
      <alignment horizontal="center" vertical="center"/>
    </xf>
    <xf numFmtId="0" fontId="3" fillId="38" borderId="29" xfId="0" applyFont="1" applyFill="1" applyBorder="1" applyAlignment="1">
      <alignment horizontal="center" vertical="center"/>
    </xf>
    <xf numFmtId="0" fontId="3" fillId="39" borderId="29" xfId="0" applyFont="1" applyFill="1" applyBorder="1" applyAlignment="1">
      <alignment horizontal="center" vertical="center"/>
    </xf>
    <xf numFmtId="0" fontId="3" fillId="42" borderId="29" xfId="0" applyFont="1" applyFill="1" applyBorder="1" applyAlignment="1">
      <alignment horizontal="center" vertical="center"/>
    </xf>
    <xf numFmtId="9" fontId="12" fillId="47" borderId="33" xfId="0" applyNumberFormat="1" applyFont="1" applyFill="1" applyBorder="1" applyAlignment="1">
      <alignment horizontal="center" vertical="center"/>
    </xf>
    <xf numFmtId="9" fontId="13" fillId="26" borderId="33" xfId="0" applyNumberFormat="1" applyFont="1" applyFill="1" applyBorder="1" applyAlignment="1">
      <alignment horizontal="center" vertical="center"/>
    </xf>
    <xf numFmtId="0" fontId="3" fillId="22" borderId="33" xfId="0" applyFont="1" applyFill="1" applyBorder="1" applyAlignment="1">
      <alignment horizontal="center" vertical="center"/>
    </xf>
    <xf numFmtId="0" fontId="3" fillId="23" borderId="33" xfId="0" applyFont="1" applyFill="1" applyBorder="1" applyAlignment="1">
      <alignment horizontal="center" vertical="center"/>
    </xf>
    <xf numFmtId="0" fontId="3" fillId="24" borderId="33" xfId="0" applyFont="1" applyFill="1" applyBorder="1" applyAlignment="1">
      <alignment horizontal="center" vertical="center"/>
    </xf>
    <xf numFmtId="9" fontId="13" fillId="28" borderId="33" xfId="0" applyNumberFormat="1" applyFont="1" applyFill="1" applyBorder="1" applyAlignment="1">
      <alignment horizontal="center" vertical="center"/>
    </xf>
    <xf numFmtId="0" fontId="3" fillId="29" borderId="33" xfId="0" applyFont="1" applyFill="1" applyBorder="1" applyAlignment="1">
      <alignment horizontal="center" vertical="center"/>
    </xf>
    <xf numFmtId="0" fontId="3" fillId="7" borderId="33" xfId="0" applyFont="1" applyFill="1" applyBorder="1" applyAlignment="1">
      <alignment horizontal="center" vertical="center"/>
    </xf>
    <xf numFmtId="0" fontId="3" fillId="34" borderId="33" xfId="0" applyFont="1" applyFill="1" applyBorder="1" applyAlignment="1">
      <alignment horizontal="center" vertical="center"/>
    </xf>
    <xf numFmtId="9" fontId="13" fillId="30" borderId="33" xfId="0" applyNumberFormat="1" applyFont="1" applyFill="1" applyBorder="1" applyAlignment="1">
      <alignment horizontal="center" vertical="center"/>
    </xf>
    <xf numFmtId="0" fontId="3" fillId="31" borderId="33" xfId="0" applyFont="1" applyFill="1" applyBorder="1" applyAlignment="1">
      <alignment horizontal="center" vertical="center"/>
    </xf>
    <xf numFmtId="0" fontId="3" fillId="6" borderId="33" xfId="0" applyFont="1" applyFill="1" applyBorder="1" applyAlignment="1">
      <alignment horizontal="center" vertical="center"/>
    </xf>
    <xf numFmtId="0" fontId="3" fillId="32" borderId="33" xfId="0" applyFont="1" applyFill="1" applyBorder="1" applyAlignment="1">
      <alignment horizontal="center" vertical="center"/>
    </xf>
    <xf numFmtId="0" fontId="3" fillId="33" borderId="33" xfId="0" applyFont="1" applyFill="1" applyBorder="1" applyAlignment="1">
      <alignment horizontal="center" vertical="center"/>
    </xf>
    <xf numFmtId="9" fontId="13" fillId="35" borderId="33" xfId="0" applyNumberFormat="1" applyFont="1" applyFill="1" applyBorder="1" applyAlignment="1">
      <alignment horizontal="center" vertical="center"/>
    </xf>
    <xf numFmtId="0" fontId="3" fillId="9" borderId="33" xfId="0" applyFont="1" applyFill="1" applyBorder="1" applyAlignment="1">
      <alignment horizontal="center" vertical="center"/>
    </xf>
    <xf numFmtId="0" fontId="3" fillId="36" borderId="33" xfId="0" applyFont="1" applyFill="1" applyBorder="1" applyAlignment="1">
      <alignment horizontal="center" vertical="center"/>
    </xf>
    <xf numFmtId="0" fontId="3" fillId="37" borderId="33" xfId="0" applyFont="1" applyFill="1" applyBorder="1" applyAlignment="1">
      <alignment horizontal="center" vertical="center"/>
    </xf>
    <xf numFmtId="0" fontId="3" fillId="38" borderId="33" xfId="0" applyFont="1" applyFill="1" applyBorder="1" applyAlignment="1">
      <alignment horizontal="center" vertical="center"/>
    </xf>
    <xf numFmtId="0" fontId="3" fillId="39" borderId="33" xfId="0" applyFont="1" applyFill="1" applyBorder="1" applyAlignment="1">
      <alignment horizontal="center" vertical="center"/>
    </xf>
    <xf numFmtId="0" fontId="3" fillId="42" borderId="33" xfId="0" applyFont="1" applyFill="1" applyBorder="1" applyAlignment="1">
      <alignment horizontal="center" vertical="center"/>
    </xf>
    <xf numFmtId="0" fontId="0" fillId="0" borderId="27" xfId="0" applyBorder="1" applyAlignment="1">
      <alignment vertical="center"/>
    </xf>
    <xf numFmtId="0" fontId="3" fillId="3" borderId="31" xfId="0" applyFont="1" applyFill="1" applyBorder="1" applyAlignment="1">
      <alignment horizontal="left" vertical="center"/>
    </xf>
    <xf numFmtId="0" fontId="0" fillId="0" borderId="31" xfId="0" applyBorder="1" applyAlignment="1">
      <alignment vertical="center"/>
    </xf>
    <xf numFmtId="9" fontId="12" fillId="47" borderId="31" xfId="0" applyNumberFormat="1" applyFont="1" applyFill="1" applyBorder="1" applyAlignment="1">
      <alignment horizontal="center" vertical="center"/>
    </xf>
    <xf numFmtId="9" fontId="13" fillId="26" borderId="31" xfId="0" applyNumberFormat="1" applyFont="1" applyFill="1" applyBorder="1" applyAlignment="1">
      <alignment horizontal="center" vertical="center"/>
    </xf>
    <xf numFmtId="0" fontId="3" fillId="22" borderId="31" xfId="0" applyFont="1" applyFill="1" applyBorder="1" applyAlignment="1">
      <alignment horizontal="center" vertical="center"/>
    </xf>
    <xf numFmtId="0" fontId="3" fillId="23" borderId="31" xfId="0" applyFont="1" applyFill="1" applyBorder="1" applyAlignment="1">
      <alignment horizontal="center" vertical="center"/>
    </xf>
    <xf numFmtId="0" fontId="3" fillId="24" borderId="31" xfId="0" applyFont="1" applyFill="1" applyBorder="1" applyAlignment="1">
      <alignment horizontal="center" vertical="center"/>
    </xf>
    <xf numFmtId="9" fontId="13" fillId="28" borderId="31" xfId="0" applyNumberFormat="1" applyFont="1" applyFill="1" applyBorder="1" applyAlignment="1">
      <alignment horizontal="center" vertical="center"/>
    </xf>
    <xf numFmtId="0" fontId="3" fillId="29" borderId="31" xfId="0" applyFont="1" applyFill="1" applyBorder="1" applyAlignment="1">
      <alignment horizontal="center" vertical="center"/>
    </xf>
    <xf numFmtId="0" fontId="3" fillId="7" borderId="31" xfId="0" applyFont="1" applyFill="1" applyBorder="1" applyAlignment="1">
      <alignment horizontal="center" vertical="center"/>
    </xf>
    <xf numFmtId="0" fontId="3" fillId="34" borderId="31" xfId="0" applyFont="1" applyFill="1" applyBorder="1" applyAlignment="1">
      <alignment horizontal="center" vertical="center"/>
    </xf>
    <xf numFmtId="9" fontId="13" fillId="30" borderId="31" xfId="0" applyNumberFormat="1" applyFont="1" applyFill="1" applyBorder="1" applyAlignment="1">
      <alignment horizontal="center" vertical="center"/>
    </xf>
    <xf numFmtId="0" fontId="3" fillId="31" borderId="31" xfId="0" applyFont="1" applyFill="1" applyBorder="1" applyAlignment="1">
      <alignment horizontal="center" vertical="center"/>
    </xf>
    <xf numFmtId="0" fontId="3" fillId="6" borderId="31" xfId="0" applyFont="1" applyFill="1" applyBorder="1" applyAlignment="1">
      <alignment horizontal="center" vertical="center"/>
    </xf>
    <xf numFmtId="0" fontId="3" fillId="32" borderId="31" xfId="0" applyFont="1" applyFill="1" applyBorder="1" applyAlignment="1">
      <alignment horizontal="center" vertical="center"/>
    </xf>
    <xf numFmtId="0" fontId="3" fillId="33" borderId="31" xfId="0" applyFont="1" applyFill="1" applyBorder="1" applyAlignment="1">
      <alignment horizontal="center" vertical="center"/>
    </xf>
    <xf numFmtId="9" fontId="13" fillId="35" borderId="31" xfId="0" applyNumberFormat="1" applyFont="1" applyFill="1" applyBorder="1" applyAlignment="1">
      <alignment horizontal="center" vertical="center"/>
    </xf>
    <xf numFmtId="0" fontId="3" fillId="9" borderId="31" xfId="0" applyFont="1" applyFill="1" applyBorder="1" applyAlignment="1">
      <alignment horizontal="center" vertical="center"/>
    </xf>
    <xf numFmtId="0" fontId="3" fillId="36" borderId="31" xfId="0" applyFont="1" applyFill="1" applyBorder="1" applyAlignment="1">
      <alignment horizontal="center" vertical="center"/>
    </xf>
    <xf numFmtId="0" fontId="3" fillId="37" borderId="31" xfId="0" applyFont="1" applyFill="1" applyBorder="1" applyAlignment="1">
      <alignment horizontal="center" vertical="center"/>
    </xf>
    <xf numFmtId="0" fontId="3" fillId="38" borderId="31" xfId="0" applyFont="1" applyFill="1" applyBorder="1" applyAlignment="1">
      <alignment horizontal="center" vertical="center"/>
    </xf>
    <xf numFmtId="0" fontId="3" fillId="39" borderId="31" xfId="0" applyFont="1" applyFill="1" applyBorder="1" applyAlignment="1">
      <alignment horizontal="center" vertical="center"/>
    </xf>
    <xf numFmtId="0" fontId="3" fillId="42" borderId="31" xfId="0" applyFont="1" applyFill="1" applyBorder="1" applyAlignment="1">
      <alignment horizontal="center" vertical="center"/>
    </xf>
    <xf numFmtId="0" fontId="3" fillId="0" borderId="31" xfId="0" applyFont="1" applyBorder="1" applyAlignment="1">
      <alignment horizontal="left" vertical="center"/>
    </xf>
    <xf numFmtId="0" fontId="3" fillId="0" borderId="31" xfId="0" applyFont="1" applyBorder="1" applyAlignment="1">
      <alignment horizontal="center" vertical="center"/>
    </xf>
    <xf numFmtId="0" fontId="3" fillId="0" borderId="34" xfId="0" applyFont="1" applyBorder="1" applyAlignment="1">
      <alignment horizontal="left" vertical="center"/>
    </xf>
    <xf numFmtId="0" fontId="3" fillId="0" borderId="35" xfId="0" applyFont="1" applyBorder="1" applyAlignment="1">
      <alignment horizontal="left" vertical="center"/>
    </xf>
    <xf numFmtId="0" fontId="6" fillId="44" borderId="27" xfId="0" applyFont="1" applyFill="1" applyBorder="1" applyAlignment="1">
      <alignment horizontal="center" vertical="center"/>
    </xf>
    <xf numFmtId="0" fontId="5" fillId="44" borderId="27" xfId="0" applyFont="1" applyFill="1" applyBorder="1" applyAlignment="1">
      <alignment horizontal="center" vertical="center"/>
    </xf>
    <xf numFmtId="0" fontId="6" fillId="44" borderId="29" xfId="0" applyFont="1" applyFill="1" applyBorder="1" applyAlignment="1">
      <alignment horizontal="center" vertical="center"/>
    </xf>
    <xf numFmtId="0" fontId="6" fillId="44" borderId="31" xfId="0" applyFont="1" applyFill="1" applyBorder="1" applyAlignment="1">
      <alignment horizontal="center" vertical="center"/>
    </xf>
    <xf numFmtId="0" fontId="1" fillId="0" borderId="0" xfId="1" applyAlignment="1">
      <alignment horizontal="center" vertical="center"/>
    </xf>
    <xf numFmtId="0" fontId="7" fillId="44" borderId="0" xfId="0" applyFont="1" applyFill="1" applyAlignment="1">
      <alignment horizontal="left" vertical="center"/>
    </xf>
    <xf numFmtId="0" fontId="15" fillId="0" borderId="0" xfId="0" applyFont="1" applyAlignment="1">
      <alignment horizontal="left" vertical="center"/>
    </xf>
    <xf numFmtId="0" fontId="3" fillId="48" borderId="3" xfId="0" applyFont="1" applyFill="1" applyBorder="1" applyAlignment="1">
      <alignment horizontal="left" vertical="center"/>
    </xf>
    <xf numFmtId="0" fontId="0" fillId="48" borderId="0" xfId="0" applyFill="1" applyAlignment="1">
      <alignment horizontal="center"/>
    </xf>
    <xf numFmtId="0" fontId="6" fillId="48" borderId="12" xfId="0" applyFont="1" applyFill="1" applyBorder="1" applyAlignment="1">
      <alignment horizontal="left" vertical="center" wrapText="1"/>
    </xf>
    <xf numFmtId="0" fontId="6" fillId="48" borderId="7" xfId="0" applyFont="1" applyFill="1" applyBorder="1" applyAlignment="1">
      <alignment horizontal="left" vertical="center"/>
    </xf>
    <xf numFmtId="0" fontId="3" fillId="48" borderId="5" xfId="0" applyFont="1" applyFill="1" applyBorder="1" applyAlignment="1">
      <alignment horizontal="left" vertical="center" wrapText="1"/>
    </xf>
    <xf numFmtId="0" fontId="3" fillId="48" borderId="4" xfId="0" applyFont="1" applyFill="1" applyBorder="1" applyAlignment="1">
      <alignment horizontal="left" vertical="center"/>
    </xf>
    <xf numFmtId="0" fontId="1" fillId="0" borderId="0" xfId="1"/>
    <xf numFmtId="0" fontId="27" fillId="0" borderId="36" xfId="0" applyFont="1" applyBorder="1" applyAlignment="1">
      <alignment horizontal="center" vertical="center"/>
    </xf>
    <xf numFmtId="0" fontId="27" fillId="0" borderId="0" xfId="0" applyFont="1" applyAlignment="1">
      <alignment vertical="center"/>
    </xf>
    <xf numFmtId="0" fontId="3" fillId="0" borderId="0" xfId="0" applyFont="1" applyAlignment="1">
      <alignment vertical="center"/>
    </xf>
    <xf numFmtId="0" fontId="3" fillId="40" borderId="0" xfId="0" applyFont="1" applyFill="1" applyAlignment="1">
      <alignment horizontal="left" vertical="center"/>
    </xf>
    <xf numFmtId="0" fontId="3" fillId="0" borderId="0" xfId="0" applyFont="1"/>
    <xf numFmtId="0" fontId="3" fillId="0" borderId="0" xfId="0" applyFont="1" applyAlignment="1">
      <alignment horizontal="left"/>
    </xf>
    <xf numFmtId="0" fontId="3" fillId="0" borderId="0" xfId="0" applyFont="1" applyAlignment="1">
      <alignment horizontal="center"/>
    </xf>
    <xf numFmtId="0" fontId="29" fillId="0" borderId="0" xfId="1" applyFont="1" applyAlignment="1">
      <alignment vertical="center"/>
    </xf>
    <xf numFmtId="0" fontId="1" fillId="0" borderId="0" xfId="1" applyAlignment="1">
      <alignment vertical="top"/>
    </xf>
    <xf numFmtId="0" fontId="29" fillId="0" borderId="0" xfId="1" applyFont="1" applyAlignment="1">
      <alignment vertical="top"/>
    </xf>
    <xf numFmtId="0" fontId="27" fillId="0" borderId="0" xfId="0" applyFont="1"/>
    <xf numFmtId="0" fontId="27" fillId="0" borderId="0" xfId="0" applyFont="1" applyAlignment="1">
      <alignment horizontal="center"/>
    </xf>
    <xf numFmtId="0" fontId="31" fillId="0" borderId="0" xfId="0" applyFont="1" applyAlignment="1">
      <alignment horizontal="center"/>
    </xf>
    <xf numFmtId="0" fontId="9" fillId="0" borderId="0" xfId="0" applyFont="1" applyAlignment="1">
      <alignment horizontal="center"/>
    </xf>
    <xf numFmtId="0" fontId="3" fillId="6" borderId="0" xfId="0" applyFont="1" applyFill="1" applyAlignment="1">
      <alignment horizontal="left" vertical="center"/>
    </xf>
    <xf numFmtId="0" fontId="29" fillId="0" borderId="0" xfId="1" applyFont="1"/>
    <xf numFmtId="0" fontId="3" fillId="33" borderId="0" xfId="0" applyFont="1" applyFill="1" applyAlignment="1">
      <alignment vertical="center"/>
    </xf>
    <xf numFmtId="0" fontId="32" fillId="0" borderId="0" xfId="0" applyFont="1" applyAlignment="1">
      <alignment horizontal="left"/>
    </xf>
    <xf numFmtId="0" fontId="34" fillId="0" borderId="0" xfId="0" applyFont="1" applyAlignment="1">
      <alignment vertical="top"/>
    </xf>
    <xf numFmtId="0" fontId="29" fillId="0" borderId="0" xfId="1" applyFont="1" applyAlignment="1">
      <alignment horizontal="left" vertical="center" readingOrder="1"/>
    </xf>
    <xf numFmtId="0" fontId="3" fillId="40" borderId="0" xfId="0" applyFont="1" applyFill="1" applyAlignment="1">
      <alignment vertical="center"/>
    </xf>
    <xf numFmtId="0" fontId="27" fillId="0" borderId="36" xfId="0"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28" fillId="0" borderId="0" xfId="0" applyFont="1" applyAlignment="1">
      <alignment wrapText="1"/>
    </xf>
    <xf numFmtId="0" fontId="27" fillId="0" borderId="0" xfId="0" applyFont="1" applyAlignment="1">
      <alignment wrapText="1"/>
    </xf>
    <xf numFmtId="0" fontId="30" fillId="0" borderId="0" xfId="0" applyFont="1" applyAlignment="1">
      <alignment wrapText="1"/>
    </xf>
    <xf numFmtId="0" fontId="9" fillId="0" borderId="0" xfId="0" applyFont="1" applyAlignment="1">
      <alignment wrapText="1"/>
    </xf>
    <xf numFmtId="0" fontId="31" fillId="0" borderId="0" xfId="0" applyFont="1" applyAlignment="1">
      <alignment wrapText="1"/>
    </xf>
    <xf numFmtId="0" fontId="9" fillId="0" borderId="0" xfId="0" applyFont="1" applyAlignment="1">
      <alignment vertical="center" wrapText="1"/>
    </xf>
    <xf numFmtId="0" fontId="33" fillId="0" borderId="0" xfId="0" applyFont="1" applyAlignment="1">
      <alignment wrapText="1"/>
    </xf>
    <xf numFmtId="0" fontId="30" fillId="0" borderId="0" xfId="1" applyFont="1" applyAlignment="1">
      <alignment vertical="center" wrapText="1"/>
    </xf>
    <xf numFmtId="0" fontId="35" fillId="0" borderId="0" xfId="0" applyFont="1" applyAlignment="1">
      <alignment horizontal="center" vertical="center"/>
    </xf>
    <xf numFmtId="0" fontId="36" fillId="0" borderId="0" xfId="0" applyFont="1" applyAlignment="1">
      <alignment vertical="center"/>
    </xf>
    <xf numFmtId="0" fontId="37" fillId="0" borderId="0" xfId="1" applyFont="1" applyAlignment="1">
      <alignment vertical="center"/>
    </xf>
    <xf numFmtId="0" fontId="3" fillId="33" borderId="0" xfId="0" applyFont="1" applyFill="1"/>
    <xf numFmtId="0" fontId="38" fillId="0" borderId="0" xfId="0" applyFont="1" applyAlignment="1">
      <alignment wrapText="1"/>
    </xf>
    <xf numFmtId="0" fontId="0" fillId="0" borderId="0" xfId="0" applyAlignment="1">
      <alignment horizontal="center" vertical="center"/>
    </xf>
    <xf numFmtId="0" fontId="19" fillId="18" borderId="21" xfId="0" applyFont="1" applyFill="1" applyBorder="1" applyAlignment="1">
      <alignment horizontal="center" vertical="center" wrapText="1"/>
    </xf>
    <xf numFmtId="0" fontId="19" fillId="18" borderId="21" xfId="0" applyFont="1" applyFill="1" applyBorder="1" applyAlignment="1">
      <alignment horizontal="center" vertical="center"/>
    </xf>
    <xf numFmtId="0" fontId="22" fillId="43" borderId="0" xfId="0" applyFont="1" applyFill="1" applyAlignment="1">
      <alignment horizontal="center" vertical="center"/>
    </xf>
    <xf numFmtId="0" fontId="3" fillId="6" borderId="27" xfId="0" applyFont="1" applyFill="1" applyBorder="1" applyAlignment="1">
      <alignment horizontal="left" vertical="center"/>
    </xf>
    <xf numFmtId="0" fontId="6" fillId="2" borderId="31" xfId="0" applyFont="1" applyFill="1" applyBorder="1" applyAlignment="1">
      <alignment horizontal="center" vertical="center"/>
    </xf>
    <xf numFmtId="0" fontId="6" fillId="2" borderId="18" xfId="0" applyFont="1" applyFill="1" applyBorder="1" applyAlignment="1">
      <alignment horizontal="center" vertical="center"/>
    </xf>
    <xf numFmtId="0" fontId="6" fillId="3" borderId="31" xfId="0" applyFont="1" applyFill="1" applyBorder="1" applyAlignment="1">
      <alignment horizontal="center" vertical="center"/>
    </xf>
    <xf numFmtId="0" fontId="26" fillId="0" borderId="18" xfId="0" applyFont="1" applyBorder="1" applyAlignment="1"/>
    <xf numFmtId="0" fontId="1" fillId="0" borderId="0" xfId="1" applyAlignment="1">
      <alignment horizontal="center"/>
    </xf>
    <xf numFmtId="0" fontId="19" fillId="18" borderId="21" xfId="0" applyFont="1" applyFill="1" applyBorder="1" applyAlignment="1">
      <alignment horizontal="center" vertical="center" wrapText="1"/>
    </xf>
    <xf numFmtId="0" fontId="17" fillId="5" borderId="0" xfId="0" applyFont="1" applyFill="1" applyAlignment="1">
      <alignment horizontal="center" vertical="center" wrapText="1"/>
    </xf>
    <xf numFmtId="0" fontId="0" fillId="0" borderId="0" xfId="0" applyAlignment="1">
      <alignment horizontal="center" vertical="center"/>
    </xf>
    <xf numFmtId="0" fontId="19" fillId="18" borderId="22" xfId="0" applyFont="1" applyFill="1" applyBorder="1" applyAlignment="1">
      <alignment horizontal="center" vertical="center"/>
    </xf>
    <xf numFmtId="0" fontId="19" fillId="18" borderId="24" xfId="0" applyFont="1" applyFill="1" applyBorder="1" applyAlignment="1">
      <alignment horizontal="center" vertical="center"/>
    </xf>
    <xf numFmtId="0" fontId="19" fillId="18" borderId="21" xfId="0" applyFont="1" applyFill="1" applyBorder="1" applyAlignment="1">
      <alignment horizontal="center" vertical="center"/>
    </xf>
    <xf numFmtId="0" fontId="0" fillId="0" borderId="25" xfId="0" applyBorder="1" applyAlignment="1"/>
    <xf numFmtId="0" fontId="0" fillId="0" borderId="24" xfId="0" applyBorder="1" applyAlignment="1"/>
  </cellXfs>
  <cellStyles count="3">
    <cellStyle name="Hyperlink" xfId="1" builtinId="8"/>
    <cellStyle name="Normal" xfId="0" builtinId="0"/>
    <cellStyle name="Normal 2" xfId="2" xr:uid="{00000000-0005-0000-0000-000002000000}"/>
  </cellStyles>
  <dxfs count="1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www.surveyplusvmc.com/our-clients" TargetMode="External"/><Relationship Id="rId21" Type="http://schemas.openxmlformats.org/officeDocument/2006/relationships/hyperlink" Target="https://digire.ai/" TargetMode="External"/><Relationship Id="rId42" Type="http://schemas.openxmlformats.org/officeDocument/2006/relationships/hyperlink" Target="https://i-rms.online/" TargetMode="External"/><Relationship Id="rId63" Type="http://schemas.openxmlformats.org/officeDocument/2006/relationships/hyperlink" Target="http://moveit.ca/" TargetMode="External"/><Relationship Id="rId84" Type="http://schemas.openxmlformats.org/officeDocument/2006/relationships/hyperlink" Target="http://www.mrmoversoftware.com/" TargetMode="External"/><Relationship Id="rId138" Type="http://schemas.openxmlformats.org/officeDocument/2006/relationships/hyperlink" Target="https://drivesales.com/" TargetMode="External"/><Relationship Id="rId107" Type="http://schemas.openxmlformats.org/officeDocument/2006/relationships/hyperlink" Target="https://relotracker.com/" TargetMode="External"/><Relationship Id="rId11" Type="http://schemas.openxmlformats.org/officeDocument/2006/relationships/hyperlink" Target="http://www.bymovers.com/" TargetMode="External"/><Relationship Id="rId32" Type="http://schemas.openxmlformats.org/officeDocument/2006/relationships/hyperlink" Target="https://www.equusoft.com/" TargetMode="External"/><Relationship Id="rId53" Type="http://schemas.openxmlformats.org/officeDocument/2006/relationships/hyperlink" Target="http://mattmovingsystems.com/" TargetMode="External"/><Relationship Id="rId74" Type="http://schemas.openxmlformats.org/officeDocument/2006/relationships/hyperlink" Target="http://www.moversly.com/" TargetMode="External"/><Relationship Id="rId128" Type="http://schemas.openxmlformats.org/officeDocument/2006/relationships/hyperlink" Target="https://www.vonigo.com/" TargetMode="External"/><Relationship Id="rId149" Type="http://schemas.openxmlformats.org/officeDocument/2006/relationships/hyperlink" Target="https://boostedmovers.com/" TargetMode="External"/><Relationship Id="rId5" Type="http://schemas.openxmlformats.org/officeDocument/2006/relationships/hyperlink" Target="https://netorgft15607063-my.sharepoint.com/personal/projects_movingtech_ai/Documents/Olympia/www.agp.nl%20https:/www.kerridgecs.nl/" TargetMode="External"/><Relationship Id="rId95" Type="http://schemas.openxmlformats.org/officeDocument/2006/relationships/hyperlink" Target="https://quell-soft.com/" TargetMode="External"/><Relationship Id="rId22" Type="http://schemas.openxmlformats.org/officeDocument/2006/relationships/hyperlink" Target="http://www.directsystems.com/" TargetMode="External"/><Relationship Id="rId27" Type="http://schemas.openxmlformats.org/officeDocument/2006/relationships/hyperlink" Target="http://www.emover-software.com/" TargetMode="External"/><Relationship Id="rId43" Type="http://schemas.openxmlformats.org/officeDocument/2006/relationships/hyperlink" Target="https://www.jobbatical.com/" TargetMode="External"/><Relationship Id="rId48" Type="http://schemas.openxmlformats.org/officeDocument/2006/relationships/hyperlink" Target="http://www.magaya.com/" TargetMode="External"/><Relationship Id="rId64" Type="http://schemas.openxmlformats.org/officeDocument/2006/relationships/hyperlink" Target="https://www.moveit.ca/" TargetMode="External"/><Relationship Id="rId69" Type="http://schemas.openxmlformats.org/officeDocument/2006/relationships/hyperlink" Target="http://www.movertechnologies.com/" TargetMode="External"/><Relationship Id="rId113" Type="http://schemas.openxmlformats.org/officeDocument/2006/relationships/hyperlink" Target="http://www.speedymovinginventory.com/" TargetMode="External"/><Relationship Id="rId118" Type="http://schemas.openxmlformats.org/officeDocument/2006/relationships/hyperlink" Target="http://www.talcasoft.com.au/" TargetMode="External"/><Relationship Id="rId134" Type="http://schemas.openxmlformats.org/officeDocument/2006/relationships/hyperlink" Target="https://yojee.com/" TargetMode="External"/><Relationship Id="rId139" Type="http://schemas.openxmlformats.org/officeDocument/2006/relationships/hyperlink" Target="https://www.artworkarchive.com/" TargetMode="External"/><Relationship Id="rId80" Type="http://schemas.openxmlformats.org/officeDocument/2006/relationships/hyperlink" Target="https://movewise.ai/features/" TargetMode="External"/><Relationship Id="rId85" Type="http://schemas.openxmlformats.org/officeDocument/2006/relationships/hyperlink" Target="https://movegistics.com/netensity/" TargetMode="External"/><Relationship Id="rId12" Type="http://schemas.openxmlformats.org/officeDocument/2006/relationships/hyperlink" Target="https://cargoez.com/" TargetMode="External"/><Relationship Id="rId17" Type="http://schemas.openxmlformats.org/officeDocument/2006/relationships/hyperlink" Target="http://www.compumove.com/" TargetMode="External"/><Relationship Id="rId33" Type="http://schemas.openxmlformats.org/officeDocument/2006/relationships/hyperlink" Target="http://www.moverssuite.com/" TargetMode="External"/><Relationship Id="rId38" Type="http://schemas.openxmlformats.org/officeDocument/2006/relationships/hyperlink" Target="https://www.glimpseware.com/" TargetMode="External"/><Relationship Id="rId59" Type="http://schemas.openxmlformats.org/officeDocument/2006/relationships/hyperlink" Target="https://play.google.com/store/apps/details?id=com.quickmove.sa.survey" TargetMode="External"/><Relationship Id="rId103" Type="http://schemas.openxmlformats.org/officeDocument/2006/relationships/hyperlink" Target="https://www.relocity.com/" TargetMode="External"/><Relationship Id="rId108" Type="http://schemas.openxmlformats.org/officeDocument/2006/relationships/hyperlink" Target="https://shipeezi.com/" TargetMode="External"/><Relationship Id="rId124" Type="http://schemas.openxmlformats.org/officeDocument/2006/relationships/hyperlink" Target="https://www.topia.com/move-management" TargetMode="External"/><Relationship Id="rId129" Type="http://schemas.openxmlformats.org/officeDocument/2006/relationships/hyperlink" Target="https://www.voxme.com/" TargetMode="External"/><Relationship Id="rId54" Type="http://schemas.openxmlformats.org/officeDocument/2006/relationships/hyperlink" Target="https://www.mobicity.com.br/" TargetMode="External"/><Relationship Id="rId70" Type="http://schemas.openxmlformats.org/officeDocument/2006/relationships/hyperlink" Target="http://www.moverbase.com/" TargetMode="External"/><Relationship Id="rId75" Type="http://schemas.openxmlformats.org/officeDocument/2006/relationships/hyperlink" Target="https://www.moverstech.com/" TargetMode="External"/><Relationship Id="rId91" Type="http://schemas.openxmlformats.org/officeDocument/2006/relationships/hyperlink" Target="https://www.orionmobility.com/" TargetMode="External"/><Relationship Id="rId96" Type="http://schemas.openxmlformats.org/officeDocument/2006/relationships/hyperlink" Target="https://www.quickmovetech.com/" TargetMode="External"/><Relationship Id="rId140" Type="http://schemas.openxmlformats.org/officeDocument/2006/relationships/hyperlink" Target="https://www.blue-relocation.com/en/home/" TargetMode="External"/><Relationship Id="rId145" Type="http://schemas.openxmlformats.org/officeDocument/2006/relationships/hyperlink" Target="https://www.servicenow.com/" TargetMode="External"/><Relationship Id="rId1" Type="http://schemas.openxmlformats.org/officeDocument/2006/relationships/hyperlink" Target="https://www.abbyy.com/solutions/transportation/" TargetMode="External"/><Relationship Id="rId6" Type="http://schemas.openxmlformats.org/officeDocument/2006/relationships/hyperlink" Target="https://www.altairglobal.com/" TargetMode="External"/><Relationship Id="rId23" Type="http://schemas.openxmlformats.org/officeDocument/2006/relationships/hyperlink" Target="http://www.drmover.com/" TargetMode="External"/><Relationship Id="rId28" Type="http://schemas.openxmlformats.org/officeDocument/2006/relationships/hyperlink" Target="https://www.encipher.ca/ppc-for-movers" TargetMode="External"/><Relationship Id="rId49" Type="http://schemas.openxmlformats.org/officeDocument/2006/relationships/hyperlink" Target="https://play.google.com/store/apps/details?id=net.twisterrob.inventory" TargetMode="External"/><Relationship Id="rId114" Type="http://schemas.openxmlformats.org/officeDocument/2006/relationships/hyperlink" Target="https://stora.co/eu" TargetMode="External"/><Relationship Id="rId119" Type="http://schemas.openxmlformats.org/officeDocument/2006/relationships/hyperlink" Target="http://www.techmateinternational.com/" TargetMode="External"/><Relationship Id="rId44" Type="http://schemas.openxmlformats.org/officeDocument/2006/relationships/hyperlink" Target="https://kinnovis.com/" TargetMode="External"/><Relationship Id="rId60" Type="http://schemas.openxmlformats.org/officeDocument/2006/relationships/hyperlink" Target="https://move4u.com/" TargetMode="External"/><Relationship Id="rId65" Type="http://schemas.openxmlformats.org/officeDocument/2006/relationships/hyperlink" Target="https://www.movemanpro.com/products/moveman-job/" TargetMode="External"/><Relationship Id="rId81" Type="http://schemas.openxmlformats.org/officeDocument/2006/relationships/hyperlink" Target="https://www.scalan.de/projekt/spacious-house-for-big-family/" TargetMode="External"/><Relationship Id="rId86" Type="http://schemas.openxmlformats.org/officeDocument/2006/relationships/hyperlink" Target="https://www.network-leads.com/" TargetMode="External"/><Relationship Id="rId130" Type="http://schemas.openxmlformats.org/officeDocument/2006/relationships/hyperlink" Target="https://www.walkboard.com/" TargetMode="External"/><Relationship Id="rId135" Type="http://schemas.openxmlformats.org/officeDocument/2006/relationships/hyperlink" Target="https://getmovd.com/" TargetMode="External"/><Relationship Id="rId13" Type="http://schemas.openxmlformats.org/officeDocument/2006/relationships/hyperlink" Target="http://chain.io/" TargetMode="External"/><Relationship Id="rId18" Type="http://schemas.openxmlformats.org/officeDocument/2006/relationships/hyperlink" Target="http://www.movedesk.com/" TargetMode="External"/><Relationship Id="rId39" Type="http://schemas.openxmlformats.org/officeDocument/2006/relationships/hyperlink" Target="http://www.granot.com/" TargetMode="External"/><Relationship Id="rId109" Type="http://schemas.openxmlformats.org/officeDocument/2006/relationships/hyperlink" Target="https://www.skipr.co/" TargetMode="External"/><Relationship Id="rId34" Type="http://schemas.openxmlformats.org/officeDocument/2006/relationships/hyperlink" Target="http://www.ewsgroup.com/products/" TargetMode="External"/><Relationship Id="rId50" Type="http://schemas.openxmlformats.org/officeDocument/2006/relationships/hyperlink" Target="https://moveassist.com/mai-move/" TargetMode="External"/><Relationship Id="rId55" Type="http://schemas.openxmlformats.org/officeDocument/2006/relationships/hyperlink" Target="https://www.mobilityempowered.net/" TargetMode="External"/><Relationship Id="rId76" Type="http://schemas.openxmlformats.org/officeDocument/2006/relationships/hyperlink" Target="https://moverworx.net/" TargetMode="External"/><Relationship Id="rId97" Type="http://schemas.openxmlformats.org/officeDocument/2006/relationships/hyperlink" Target="https://www.thecoragroup.com/portfolio/quickqube" TargetMode="External"/><Relationship Id="rId104" Type="http://schemas.openxmlformats.org/officeDocument/2006/relationships/hyperlink" Target="https://nrirelocation.com/relocation-technology/" TargetMode="External"/><Relationship Id="rId120" Type="http://schemas.openxmlformats.org/officeDocument/2006/relationships/hyperlink" Target="https://www.theinventorymanager.co.uk/" TargetMode="External"/><Relationship Id="rId125" Type="http://schemas.openxmlformats.org/officeDocument/2006/relationships/hyperlink" Target="https://www.unpakt.com/" TargetMode="External"/><Relationship Id="rId141" Type="http://schemas.openxmlformats.org/officeDocument/2006/relationships/hyperlink" Target="https://www.docketwise.com/" TargetMode="External"/><Relationship Id="rId146" Type="http://schemas.openxmlformats.org/officeDocument/2006/relationships/hyperlink" Target="https://www.tagdd.io/" TargetMode="External"/><Relationship Id="rId7" Type="http://schemas.openxmlformats.org/officeDocument/2006/relationships/hyperlink" Target="https://anecom.com/" TargetMode="External"/><Relationship Id="rId71" Type="http://schemas.openxmlformats.org/officeDocument/2006/relationships/hyperlink" Target="https://themoveboard.com/" TargetMode="External"/><Relationship Id="rId92" Type="http://schemas.openxmlformats.org/officeDocument/2006/relationships/hyperlink" Target="https://play.google.com/store/apps/details?id=com.pleinaxe.parc2_mobility&amp;hl=en_CA" TargetMode="External"/><Relationship Id="rId2" Type="http://schemas.openxmlformats.org/officeDocument/2006/relationships/hyperlink" Target="http://www.administersoftware.co.uk/" TargetMode="External"/><Relationship Id="rId29" Type="http://schemas.openxmlformats.org/officeDocument/2006/relationships/hyperlink" Target="http://www.eosuk.com/" TargetMode="External"/><Relationship Id="rId24" Type="http://schemas.openxmlformats.org/officeDocument/2006/relationships/hyperlink" Target="https://drivesales.com/" TargetMode="External"/><Relationship Id="rId40" Type="http://schemas.openxmlformats.org/officeDocument/2006/relationships/hyperlink" Target="https://www.linkedin.com/products/expateo/" TargetMode="External"/><Relationship Id="rId45" Type="http://schemas.openxmlformats.org/officeDocument/2006/relationships/hyperlink" Target="https://www.liveswitch.com/" TargetMode="External"/><Relationship Id="rId66" Type="http://schemas.openxmlformats.org/officeDocument/2006/relationships/hyperlink" Target="https://moveninja.com/" TargetMode="External"/><Relationship Id="rId87" Type="http://schemas.openxmlformats.org/officeDocument/2006/relationships/hyperlink" Target="https://www.noah-mobility.de/" TargetMode="External"/><Relationship Id="rId110" Type="http://schemas.openxmlformats.org/officeDocument/2006/relationships/hyperlink" Target="https://www.ark-one.com.ph/" TargetMode="External"/><Relationship Id="rId115" Type="http://schemas.openxmlformats.org/officeDocument/2006/relationships/hyperlink" Target="http://storman.com/" TargetMode="External"/><Relationship Id="rId131" Type="http://schemas.openxmlformats.org/officeDocument/2006/relationships/hyperlink" Target="http://www.unitedsoftware.us/" TargetMode="External"/><Relationship Id="rId136" Type="http://schemas.openxmlformats.org/officeDocument/2006/relationships/hyperlink" Target="https://www.moversdispatchboard.com/" TargetMode="External"/><Relationship Id="rId61" Type="http://schemas.openxmlformats.org/officeDocument/2006/relationships/hyperlink" Target="https://play.google.com/store/apps/details?id=com.movedesk.crew.mobile" TargetMode="External"/><Relationship Id="rId82" Type="http://schemas.openxmlformats.org/officeDocument/2006/relationships/hyperlink" Target="https://www.movingprosnetwork.com/" TargetMode="External"/><Relationship Id="rId19" Type="http://schemas.openxmlformats.org/officeDocument/2006/relationships/hyperlink" Target="http://www.movemagic.com/" TargetMode="External"/><Relationship Id="rId14" Type="http://schemas.openxmlformats.org/officeDocument/2006/relationships/hyperlink" Target="https://chain.io/" TargetMode="External"/><Relationship Id="rId30" Type="http://schemas.openxmlformats.org/officeDocument/2006/relationships/hyperlink" Target="http://www.edcus.com/" TargetMode="External"/><Relationship Id="rId35" Type="http://schemas.openxmlformats.org/officeDocument/2006/relationships/hyperlink" Target="https://www.linkedin.com/products/altays-mobilit%C3%A9/" TargetMode="External"/><Relationship Id="rId56" Type="http://schemas.openxmlformats.org/officeDocument/2006/relationships/hyperlink" Target="https://www.moveitpro.com/" TargetMode="External"/><Relationship Id="rId77" Type="http://schemas.openxmlformats.org/officeDocument/2006/relationships/hyperlink" Target="http://www.moveconnect.com/" TargetMode="External"/><Relationship Id="rId100" Type="http://schemas.openxmlformats.org/officeDocument/2006/relationships/hyperlink" Target="https://reedgeapp.com/" TargetMode="External"/><Relationship Id="rId105" Type="http://schemas.openxmlformats.org/officeDocument/2006/relationships/hyperlink" Target="https://reloquest.com/" TargetMode="External"/><Relationship Id="rId126" Type="http://schemas.openxmlformats.org/officeDocument/2006/relationships/hyperlink" Target="https://www.urbanbound.com/" TargetMode="External"/><Relationship Id="rId147" Type="http://schemas.openxmlformats.org/officeDocument/2006/relationships/hyperlink" Target="https://crowdy.ai/ai-chatbot-for-moving-services/" TargetMode="External"/><Relationship Id="rId8" Type="http://schemas.openxmlformats.org/officeDocument/2006/relationships/hyperlink" Target="https://artfundi.tech/features" TargetMode="External"/><Relationship Id="rId51" Type="http://schemas.openxmlformats.org/officeDocument/2006/relationships/hyperlink" Target="https://www.managemymoves.com/" TargetMode="External"/><Relationship Id="rId72" Type="http://schemas.openxmlformats.org/officeDocument/2006/relationships/hyperlink" Target="https://about.moveright.app/" TargetMode="External"/><Relationship Id="rId93" Type="http://schemas.openxmlformats.org/officeDocument/2006/relationships/hyperlink" Target="https://www.parsifalcorp.com/" TargetMode="External"/><Relationship Id="rId98" Type="http://schemas.openxmlformats.org/officeDocument/2006/relationships/hyperlink" Target="https://quote2cashapp.com/index.html" TargetMode="External"/><Relationship Id="rId121" Type="http://schemas.openxmlformats.org/officeDocument/2006/relationships/hyperlink" Target="http://www.themovingmanager.com/" TargetMode="External"/><Relationship Id="rId142" Type="http://schemas.openxmlformats.org/officeDocument/2006/relationships/hyperlink" Target="https://gallaghertransport.com/" TargetMode="External"/><Relationship Id="rId3" Type="http://schemas.openxmlformats.org/officeDocument/2006/relationships/hyperlink" Target="https://agepe.net/" TargetMode="External"/><Relationship Id="rId25" Type="http://schemas.openxmlformats.org/officeDocument/2006/relationships/hyperlink" Target="https://www.easytariff.com/" TargetMode="External"/><Relationship Id="rId46" Type="http://schemas.openxmlformats.org/officeDocument/2006/relationships/hyperlink" Target="https://www.localyze.com/" TargetMode="External"/><Relationship Id="rId67" Type="http://schemas.openxmlformats.org/officeDocument/2006/relationships/hyperlink" Target="https://www.movepilot.ai/" TargetMode="External"/><Relationship Id="rId116" Type="http://schemas.openxmlformats.org/officeDocument/2006/relationships/hyperlink" Target="https://www.supermove.com/" TargetMode="External"/><Relationship Id="rId137" Type="http://schemas.openxmlformats.org/officeDocument/2006/relationships/hyperlink" Target="https://movermate.com.au/" TargetMode="External"/><Relationship Id="rId20" Type="http://schemas.openxmlformats.org/officeDocument/2006/relationships/hyperlink" Target="https://convergo.tech/" TargetMode="External"/><Relationship Id="rId41" Type="http://schemas.openxmlformats.org/officeDocument/2006/relationships/hyperlink" Target="https://www.linkedin.com/products/moovaz-relocation-platform/" TargetMode="External"/><Relationship Id="rId62" Type="http://schemas.openxmlformats.org/officeDocument/2006/relationships/hyperlink" Target="http://www.movehq.com/" TargetMode="External"/><Relationship Id="rId83" Type="http://schemas.openxmlformats.org/officeDocument/2006/relationships/hyperlink" Target="https://www.movingtools.ca/" TargetMode="External"/><Relationship Id="rId88" Type="http://schemas.openxmlformats.org/officeDocument/2006/relationships/hyperlink" Target="https://www.nucompass.com/" TargetMode="External"/><Relationship Id="rId111" Type="http://schemas.openxmlformats.org/officeDocument/2006/relationships/hyperlink" Target="https://smartmoving.com/" TargetMode="External"/><Relationship Id="rId132" Type="http://schemas.openxmlformats.org/officeDocument/2006/relationships/hyperlink" Target="https://www.workiz.com/industries/moving/?utm_medium=cpc&amp;utm_source=google_ads&amp;utm_campaign=Google-PMAX-Generic---US_CA-All-Leads-free_trial--Convertedleads-02/20/2024&amp;utm_adgroup=&amp;utm_term=&amp;utm_placement=&amp;utm_matchtype=&amp;utm_device=c&amp;utm_medium=cpc&amp;utm_source=google_ads&amp;utm_term=&amp;utm_campaign=Google-PMAX-Generic---US_CA-All-Leads---Converted+leads,+Phone+call+leads-02/12/2024&amp;hsa_acc=6404267763&amp;hsa_cam=21042084865&amp;hsa_grp=&amp;hsa_ad=&amp;hsa_src=x&amp;hsa_tgt=&amp;hsa_kw=&amp;hsa_mt=&amp;hsa_net=adwords&amp;hsa_ver=3&amp;gad_source=1&amp;gad_campaignid=21032085510&amp;gbraid=0AAAAACRwqRk9qOWwZxS_6Kk39hpMIOoJk&amp;gclid=EAIaIQobChMIs4nS77iwjwMVLlR_AB3uTS-JEAAYBCAAEgIBhfD_BwE" TargetMode="External"/><Relationship Id="rId15" Type="http://schemas.openxmlformats.org/officeDocument/2006/relationships/hyperlink" Target="https://www.chariotmove.com/" TargetMode="External"/><Relationship Id="rId36" Type="http://schemas.openxmlformats.org/officeDocument/2006/relationships/hyperlink" Target="http://getamover.co.uk/" TargetMode="External"/><Relationship Id="rId57" Type="http://schemas.openxmlformats.org/officeDocument/2006/relationships/hyperlink" Target="https://www.movematcher.com/" TargetMode="External"/><Relationship Id="rId106" Type="http://schemas.openxmlformats.org/officeDocument/2006/relationships/hyperlink" Target="https://www.relotalent.com/" TargetMode="External"/><Relationship Id="rId127" Type="http://schemas.openxmlformats.org/officeDocument/2006/relationships/hyperlink" Target="https://www.virtualmovingtechnologies.com/" TargetMode="External"/><Relationship Id="rId10" Type="http://schemas.openxmlformats.org/officeDocument/2006/relationships/hyperlink" Target="https://www.benivo.com/" TargetMode="External"/><Relationship Id="rId31" Type="http://schemas.openxmlformats.org/officeDocument/2006/relationships/hyperlink" Target="https://www.envoyglobal.com/" TargetMode="External"/><Relationship Id="rId52" Type="http://schemas.openxmlformats.org/officeDocument/2006/relationships/hyperlink" Target="https://masi-leap.com/" TargetMode="External"/><Relationship Id="rId73" Type="http://schemas.openxmlformats.org/officeDocument/2006/relationships/hyperlink" Target="https://www.moverspoe.com/" TargetMode="External"/><Relationship Id="rId78" Type="http://schemas.openxmlformats.org/officeDocument/2006/relationships/hyperlink" Target="https://datasights.co/integrations/moveware-connector-to-power-bi-excel-and-googlesheets/" TargetMode="External"/><Relationship Id="rId94" Type="http://schemas.openxmlformats.org/officeDocument/2006/relationships/hyperlink" Target="https://www.pricepointmoves.com/" TargetMode="External"/><Relationship Id="rId99" Type="http://schemas.openxmlformats.org/officeDocument/2006/relationships/hyperlink" Target="http://www.redskymobility.com/" TargetMode="External"/><Relationship Id="rId101" Type="http://schemas.openxmlformats.org/officeDocument/2006/relationships/hyperlink" Target="https://reloadvisor.org/en/" TargetMode="External"/><Relationship Id="rId122" Type="http://schemas.openxmlformats.org/officeDocument/2006/relationships/hyperlink" Target="https://themovingsoftware.com/" TargetMode="External"/><Relationship Id="rId143" Type="http://schemas.openxmlformats.org/officeDocument/2006/relationships/hyperlink" Target="https://www.thecoragroup.com/portfolio/hessel" TargetMode="External"/><Relationship Id="rId148" Type="http://schemas.openxmlformats.org/officeDocument/2006/relationships/hyperlink" Target="https://www.voiceflow.com/ai/movers" TargetMode="External"/><Relationship Id="rId4" Type="http://schemas.openxmlformats.org/officeDocument/2006/relationships/hyperlink" Target="https://agoyu.com/" TargetMode="External"/><Relationship Id="rId9" Type="http://schemas.openxmlformats.org/officeDocument/2006/relationships/hyperlink" Target="https://www.articheck.com/solutions/shippers/" TargetMode="External"/><Relationship Id="rId26" Type="http://schemas.openxmlformats.org/officeDocument/2006/relationships/hyperlink" Target="http://www.elromco.com/" TargetMode="External"/><Relationship Id="rId47" Type="http://schemas.openxmlformats.org/officeDocument/2006/relationships/hyperlink" Target="https://logdio.com/en/moving-software/" TargetMode="External"/><Relationship Id="rId68" Type="http://schemas.openxmlformats.org/officeDocument/2006/relationships/hyperlink" Target="http://www.movepoint.com/" TargetMode="External"/><Relationship Id="rId89" Type="http://schemas.openxmlformats.org/officeDocument/2006/relationships/hyperlink" Target="https://oneilsoftware.com/" TargetMode="External"/><Relationship Id="rId112" Type="http://schemas.openxmlformats.org/officeDocument/2006/relationships/hyperlink" Target="https://www.soffront.com/" TargetMode="External"/><Relationship Id="rId133" Type="http://schemas.openxmlformats.org/officeDocument/2006/relationships/hyperlink" Target="https://yembo.ai/" TargetMode="External"/><Relationship Id="rId16" Type="http://schemas.openxmlformats.org/officeDocument/2006/relationships/hyperlink" Target="https://www.comparemymove.com/" TargetMode="External"/><Relationship Id="rId37" Type="http://schemas.openxmlformats.org/officeDocument/2006/relationships/hyperlink" Target="https://www.getamover.co.uk/" TargetMode="External"/><Relationship Id="rId58" Type="http://schemas.openxmlformats.org/officeDocument/2006/relationships/hyperlink" Target="https://moveplnr.com/" TargetMode="External"/><Relationship Id="rId79" Type="http://schemas.openxmlformats.org/officeDocument/2006/relationships/hyperlink" Target="http://www.movewaresystems.com/" TargetMode="External"/><Relationship Id="rId102" Type="http://schemas.openxmlformats.org/officeDocument/2006/relationships/hyperlink" Target="https://www.relocationonline.com/" TargetMode="External"/><Relationship Id="rId123" Type="http://schemas.openxmlformats.org/officeDocument/2006/relationships/hyperlink" Target="https://the-relocator.com/" TargetMode="External"/><Relationship Id="rId144" Type="http://schemas.openxmlformats.org/officeDocument/2006/relationships/hyperlink" Target="https://moveadvisor.com/" TargetMode="External"/><Relationship Id="rId90" Type="http://schemas.openxmlformats.org/officeDocument/2006/relationships/hyperlink" Target="https://www.odoo.com/es_E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hipsupply.org/" TargetMode="External"/><Relationship Id="rId18" Type="http://schemas.openxmlformats.org/officeDocument/2006/relationships/hyperlink" Target="http://www.mynetmove.com/" TargetMode="External"/><Relationship Id="rId26" Type="http://schemas.openxmlformats.org/officeDocument/2006/relationships/hyperlink" Target="https://www.streak.com/ai" TargetMode="External"/><Relationship Id="rId39" Type="http://schemas.openxmlformats.org/officeDocument/2006/relationships/hyperlink" Target="https://play.google.com/store/apps/details?id=com.mover.user&amp;hl=en_CA" TargetMode="External"/><Relationship Id="rId21" Type="http://schemas.openxmlformats.org/officeDocument/2006/relationships/hyperlink" Target="https://nexxiot.com/" TargetMode="External"/><Relationship Id="rId34" Type="http://schemas.openxmlformats.org/officeDocument/2006/relationships/hyperlink" Target="https://play.google.com/store/apps/details?id=net.twisterrob.inventory" TargetMode="External"/><Relationship Id="rId42" Type="http://schemas.openxmlformats.org/officeDocument/2006/relationships/hyperlink" Target="https://www.smartrfsolutions.com/" TargetMode="External"/><Relationship Id="rId7" Type="http://schemas.openxmlformats.org/officeDocument/2006/relationships/hyperlink" Target="https://www.capterra.com/?&amp;" TargetMode="External"/><Relationship Id="rId2" Type="http://schemas.openxmlformats.org/officeDocument/2006/relationships/hyperlink" Target="http://www.alliumtrx.com/" TargetMode="External"/><Relationship Id="rId16" Type="http://schemas.openxmlformats.org/officeDocument/2006/relationships/hyperlink" Target="https://mitratech.com/" TargetMode="External"/><Relationship Id="rId20" Type="http://schemas.openxmlformats.org/officeDocument/2006/relationships/hyperlink" Target="http://www.nexshore.com/" TargetMode="External"/><Relationship Id="rId29" Type="http://schemas.openxmlformats.org/officeDocument/2006/relationships/hyperlink" Target="http://vowsol.com/" TargetMode="External"/><Relationship Id="rId41" Type="http://schemas.openxmlformats.org/officeDocument/2006/relationships/hyperlink" Target="https://play.google.com/store/apps/details?id=com.reallymoving.uk.mhc&amp;hl=en" TargetMode="External"/><Relationship Id="rId1" Type="http://schemas.openxmlformats.org/officeDocument/2006/relationships/hyperlink" Target="https://air7seas.com/" TargetMode="External"/><Relationship Id="rId6" Type="http://schemas.openxmlformats.org/officeDocument/2006/relationships/hyperlink" Target="https://belvo.com/es/" TargetMode="External"/><Relationship Id="rId11" Type="http://schemas.openxmlformats.org/officeDocument/2006/relationships/hyperlink" Target="https://mobilityex.com/index.html" TargetMode="External"/><Relationship Id="rId24" Type="http://schemas.openxmlformats.org/officeDocument/2006/relationships/hyperlink" Target="https://www.personio.es/" TargetMode="External"/><Relationship Id="rId32" Type="http://schemas.openxmlformats.org/officeDocument/2006/relationships/hyperlink" Target="https://www.ybappc.co.uk/" TargetMode="External"/><Relationship Id="rId37" Type="http://schemas.openxmlformats.org/officeDocument/2006/relationships/hyperlink" Target="https://play.google.com/store/apps/details?id=com.moveit.helper" TargetMode="External"/><Relationship Id="rId40" Type="http://schemas.openxmlformats.org/officeDocument/2006/relationships/hyperlink" Target="https://play.google.com/store/apps/details?id=com.uhi.movinghelpnow" TargetMode="External"/><Relationship Id="rId5" Type="http://schemas.openxmlformats.org/officeDocument/2006/relationships/hyperlink" Target="https://avowsolutions.com/" TargetMode="External"/><Relationship Id="rId15" Type="http://schemas.openxmlformats.org/officeDocument/2006/relationships/hyperlink" Target="https://miocommerce.com/affiliates" TargetMode="External"/><Relationship Id="rId23" Type="http://schemas.openxmlformats.org/officeDocument/2006/relationships/hyperlink" Target="https://www.useparagon.com/" TargetMode="External"/><Relationship Id="rId28" Type="http://schemas.openxmlformats.org/officeDocument/2006/relationships/hyperlink" Target="https://swedenrelocators.se/" TargetMode="External"/><Relationship Id="rId36" Type="http://schemas.openxmlformats.org/officeDocument/2006/relationships/hyperlink" Target="https://www.moveassured.com/" TargetMode="External"/><Relationship Id="rId10" Type="http://schemas.openxmlformats.org/officeDocument/2006/relationships/hyperlink" Target="https://efficient.app/" TargetMode="External"/><Relationship Id="rId19" Type="http://schemas.openxmlformats.org/officeDocument/2006/relationships/hyperlink" Target="https://www.neometrik.com/" TargetMode="External"/><Relationship Id="rId31" Type="http://schemas.openxmlformats.org/officeDocument/2006/relationships/hyperlink" Target="http://workia.com/" TargetMode="External"/><Relationship Id="rId44" Type="http://schemas.openxmlformats.org/officeDocument/2006/relationships/hyperlink" Target="https://travelbox.space/" TargetMode="External"/><Relationship Id="rId4" Type="http://schemas.openxmlformats.org/officeDocument/2006/relationships/hyperlink" Target="https://appsumo.com/" TargetMode="External"/><Relationship Id="rId9" Type="http://schemas.openxmlformats.org/officeDocument/2006/relationships/hyperlink" Target="https://www.denim.com/partnerships" TargetMode="External"/><Relationship Id="rId14" Type="http://schemas.openxmlformats.org/officeDocument/2006/relationships/hyperlink" Target="https://www.itgalleryapp.com/en/art-gallery/management-software.html" TargetMode="External"/><Relationship Id="rId22" Type="http://schemas.openxmlformats.org/officeDocument/2006/relationships/hyperlink" Target="https://packerswala.com/" TargetMode="External"/><Relationship Id="rId27" Type="http://schemas.openxmlformats.org/officeDocument/2006/relationships/hyperlink" Target="https://www.sumup.com/en-us/" TargetMode="External"/><Relationship Id="rId30" Type="http://schemas.openxmlformats.org/officeDocument/2006/relationships/hyperlink" Target="https://www.waylit.com/" TargetMode="External"/><Relationship Id="rId35" Type="http://schemas.openxmlformats.org/officeDocument/2006/relationships/hyperlink" Target="https://mooova.io/" TargetMode="External"/><Relationship Id="rId43" Type="http://schemas.openxmlformats.org/officeDocument/2006/relationships/hyperlink" Target="https://ca.moving24.com/" TargetMode="External"/><Relationship Id="rId8" Type="http://schemas.openxmlformats.org/officeDocument/2006/relationships/hyperlink" Target="https://sway.cloud.microsoft/ZHpzpdUT9hax1Uld?ref=Link&amp;loc=play" TargetMode="External"/><Relationship Id="rId3" Type="http://schemas.openxmlformats.org/officeDocument/2006/relationships/hyperlink" Target="https://www.amt-sybex.com/fieldreach/" TargetMode="External"/><Relationship Id="rId12" Type="http://schemas.openxmlformats.org/officeDocument/2006/relationships/hyperlink" Target="https://informationisbeautiful.net/visualizations/the-rise-of-generative-ai-large-language-models-llms-like-chatgpt/" TargetMode="External"/><Relationship Id="rId17" Type="http://schemas.openxmlformats.org/officeDocument/2006/relationships/hyperlink" Target="https://mobilityex.com/" TargetMode="External"/><Relationship Id="rId25" Type="http://schemas.openxmlformats.org/officeDocument/2006/relationships/hyperlink" Target="http://www.scan2move.com/" TargetMode="External"/><Relationship Id="rId33" Type="http://schemas.openxmlformats.org/officeDocument/2006/relationships/hyperlink" Target="https://zapier.com/developer-platform/partner-program" TargetMode="External"/><Relationship Id="rId38" Type="http://schemas.openxmlformats.org/officeDocument/2006/relationships/hyperlink" Target="https://play.google.com/store/apps/details?id=com.moveit.help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lotracker.com/"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link.mail.beehiiv.com/ss/c/AFHHY18NT0_ddKuYrElMRuvIhyuq6vkUltbdNjaYkxmTwoSPL60Ldw7Am9ssMAnbg9AZgzwxhaqq0bDsowxBi6_-M6oBefTgBPiGrCRBXfb5TMpUVVfd4YXLS8TH5TBTDkaHNiQCqOF9gCFuL-Nys9se3Wsd0CEzB5OT73bPAu4/42x/ugknEuMqS_-W8W1KV-PmbQ/h19/cy_J3pUiAmiYuzzCW5R_zoqlAKoiPkDoJ0q_uOvSKpw" TargetMode="External"/><Relationship Id="rId21" Type="http://schemas.openxmlformats.org/officeDocument/2006/relationships/hyperlink" Target="https://you.com/" TargetMode="External"/><Relationship Id="rId63" Type="http://schemas.openxmlformats.org/officeDocument/2006/relationships/hyperlink" Target="https://na01.safelinks.protection.outlook.com/?url=https%3A%2F%2Flink.mail.beehiiv.com%2Fss%2Fc%2FAFHHY18NT0_ddKuYrElMRqCnMmeOl4wst7cNUGZ5bmz-0qnXDW_ue3cVmSUdfxNqRUzKJ954mvreFrm6lFQ3bHMyTbR-dYv3z7LtxYfNI5mxgHdFwDtmP4TYzBE9nbrfn_Hg7B2fpHNY9EN3FYOLhmkAEJ9y3BN2FGJTELSEUz4oky-LL1ODi-Mxto9yKaSf%2F428%2FXDkX1EU2RguIZ3sW5zoTXg%2Fh21%2FSF3hP91TkgXsvDD0JMfqdDMkWaAdzvY5DtvST9cM15g&amp;data=05%7C02%7C%7C131e8d403b6f42fc230808dbfff04d7d%7C84df9e7fe9f640afb435aaaaaaaaaaaa%7C1%7C0%7C638385179834664319%7CUnknown%7CTWFpbGZsb3d8eyJWIjoiMC4wLjAwMDAiLCJQIjoiV2luMzIiLCJBTiI6Ik1haWwiLCJXVCI6Mn0%3D%7C3000%7C%7C%7C&amp;sdata=i1jCAeCwry3JaL7zSKjJuoWubp84MXsZpPEEQDWD2Tg%3D&amp;reserved=0" TargetMode="External"/><Relationship Id="rId159" Type="http://schemas.openxmlformats.org/officeDocument/2006/relationships/hyperlink" Target="https://www.storiai.com/" TargetMode="External"/><Relationship Id="rId170" Type="http://schemas.openxmlformats.org/officeDocument/2006/relationships/hyperlink" Target="https://na01.safelinks.protection.outlook.com/?url=https%3A%2F%2Flink.mail.beehiiv.com%2Fss%2Fc%2Fi2IHzAzoiY266rd2UY2dVJECW1LDdzFGrzZ86pz3gAPKQ3vGx9AyZpBuIMs18cnx0GrIXqbDvMrW1bKUcCEH-1_2d-8Yg1ol3CfiLyBuwpwUjpxsyVpeqTNYKRr7fckgcaVg82sMpirKB8wLDNfL_uu_tyqnG1lppirJSVeJo6lPqTFia1ZjifywCIXMznRf%2F43p%2FjvHr-I6eRUCnOzE4IDkryQ%2Fh11%2FPshLoo_T6Jgp9ijQ-AHQwP6TXl9U_VT922qNs_lgg2M&amp;data=05%7C02%7C%7C5cce792f15a54dfab9b808dc2992240f%7C84df9e7fe9f640afb435aaaaaaaaaaaa%7C1%7C0%7C638430954878867899%7CUnknown%7CTWFpbGZsb3d8eyJWIjoiMC4wLjAwMDAiLCJQIjoiV2luMzIiLCJBTiI6Ik1haWwiLCJXVCI6Mn0%3D%7C0%7C%7C%7C&amp;sdata=JtIX1YIIeOtnHSOaKfU4dRCZf57pd5N99oWWdotSvqM%3D&amp;reserved=0" TargetMode="External"/><Relationship Id="rId226" Type="http://schemas.openxmlformats.org/officeDocument/2006/relationships/hyperlink" Target="https://link.mail.beehiiv.com/ss/c/8Y-VoJkoDnX1zI1WLAgXFxz4Gr2Vaw0EpenY7pzFSEjWv0MvwlTQn5tq1DN1R8x9Yv7KBga4byCTi_QQ583SoG3CVMW5DL9T9_XzRLgzsyDtYNM24opocZMxQYgTQAPnWNtnUGirkBjBuQ23DzCWTPzKHaqfKf90zBC4SlehB7Q/42t/BW-dfpFeS66B4-Va138g3w/h15/GWosPWVLrsOoytIXLPd_zjnezqF47rK68-zWNbth6dA" TargetMode="External"/><Relationship Id="rId268" Type="http://schemas.openxmlformats.org/officeDocument/2006/relationships/hyperlink" Target="https://www.hireroger.com/" TargetMode="External"/><Relationship Id="rId32" Type="http://schemas.openxmlformats.org/officeDocument/2006/relationships/hyperlink" Target="https://chatgpt.com/" TargetMode="External"/><Relationship Id="rId74" Type="http://schemas.openxmlformats.org/officeDocument/2006/relationships/hyperlink" Target="https://dewstack.com/" TargetMode="External"/><Relationship Id="rId128" Type="http://schemas.openxmlformats.org/officeDocument/2006/relationships/hyperlink" Target="https://link.mail.beehiiv.com/ss/c/AFHHY18NT0_ddKuYrElMRu8LnxRRd89gW_0tZvKYC7BAxAo0dcm3wSO1GPIWCxQFM1R37BIrXVkmoTm9xyj5qa2eLbsVUPcHSzWofgdn_i1ylMj-lGwgRUf-VeT25wyVO1LLKzfAkWQ9NPjfmeYC_ytgJxw1-CTgb7VFTRIi5xOS11H8OckRCpQNBgfcAzz6ZylWEz3BDBHHU8iLerGctA/433/7TY_PSLvRgWzYPJETFX2uA/h11/c4T6w1IrJkFd00bQK_Ndcxu71DFthJOQe3ofd6-JBj8" TargetMode="External"/><Relationship Id="rId5" Type="http://schemas.openxmlformats.org/officeDocument/2006/relationships/hyperlink" Target="https://simplyput.ai/" TargetMode="External"/><Relationship Id="rId181" Type="http://schemas.openxmlformats.org/officeDocument/2006/relationships/hyperlink" Target="https://www.guidde.com/" TargetMode="External"/><Relationship Id="rId237" Type="http://schemas.openxmlformats.org/officeDocument/2006/relationships/hyperlink" Target="https://link.mail.beehiiv.com/ss/c/i142ipyW89EI2-TL2DD4FCmQI5N0zU5Ck4au3PAkucnbg7PuHp7zo9_KWWRRyYNH98-IK7_y1klWPbikgIa-5AvrQRiQQnfFcjxQb4RVnYKy6MJaXaYEF_m5carxhaE7sSuyr8BPDjZzCur7LRtjbio7KrI2Yju1QJQToHrvUZrGbYeS7PNPzHcIW8NFCHKp/430/QYqyBXEUQLScFHRqIGvV6A/h12/q3SIgtNZ0owOU6F-Q_JDzbMkvTf7AQBRuklkBLO2LRo" TargetMode="External"/><Relationship Id="rId279" Type="http://schemas.openxmlformats.org/officeDocument/2006/relationships/hyperlink" Target="https://base44.com/" TargetMode="External"/><Relationship Id="rId43" Type="http://schemas.openxmlformats.org/officeDocument/2006/relationships/hyperlink" Target="https://gamma.app/" TargetMode="External"/><Relationship Id="rId139" Type="http://schemas.openxmlformats.org/officeDocument/2006/relationships/hyperlink" Target="https://na01.safelinks.protection.outlook.com/?url=https%3A%2F%2Flink.mail.beehiiv.com%2Fss%2Fc%2FjMFTGBN48XY1wUMNWd3dQP-aOTYs0o6Qj_Zubv4ywCZ_ky9kpLIWpxajLxZzrb3c60M2pgYkhUqMomoJy83Q8KrlBcIZmf5wChThms0zT6Ox9DJzwZZkX774i_9DRjxMLc9NVHsh_AxQN-pDxl1-AA0AvAbuBtDkjS5kQkYR8bfsx6rjCZtDNmMi-kgc4BM9xGHABfD52PVevJvI9D9ItgZh57iCAA8KeldpXE8Xlk0%2F43a%2FSBfqDQ9KRHyV3CrIWyfZYw%2Fh13%2FcT3tja5ymvau4l9mTkJnGXMANBCxseX_Gt4f1rwoqN4&amp;data=05%7C02%7C%7C8d8691662dc44d4fd3db08dc1dc8630d%7C84df9e7fe9f640afb435aaaaaaaaaaaa%7C1%7C0%7C638417993786678879%7CUnknown%7CTWFpbGZsb3d8eyJWIjoiMC4wLjAwMDAiLCJQIjoiV2luMzIiLCJBTiI6Ik1haWwiLCJXVCI6Mn0%3D%7C3000%7C%7C%7C&amp;sdata=KkBhtdQWTSHJesIhiKy8z%2BfnU34as4AYPl81phUTCH4%3D&amp;reserved=0" TargetMode="External"/><Relationship Id="rId290" Type="http://schemas.openxmlformats.org/officeDocument/2006/relationships/hyperlink" Target="https://www.openinterpreter.com/" TargetMode="External"/><Relationship Id="rId85" Type="http://schemas.openxmlformats.org/officeDocument/2006/relationships/hyperlink" Target="https://link.mail.beehiiv.com/ss/c/AFHHY18NT0_ddKuYrElMRodQo-JkJS1ps8aZKh-QkXCyO1ePEGA6pcEUdXKr8f5nS1udQLUiZAgF29SZRFi8KmRJOhbZnAphBbxF5oJSkFkenYNEKXAyk6TmrYPU4aOfKlbrcWNNhGOOtd9NtIzt83t651plgqpNeE6AaaGdujJ24F-jyUBGNcb5ehJXvNIy/42j/zCbDb32ySbSS13cvqNaY0w/h4/vnCwuunf4QnZPoaSR3IUp1LPnTrXfmTzwG-qwNYUFWY" TargetMode="External"/><Relationship Id="rId150" Type="http://schemas.openxmlformats.org/officeDocument/2006/relationships/hyperlink" Target="https://na01.safelinks.protection.outlook.com/?url=https%3A%2F%2Flink.mail.beehiiv.com%2Fss%2Fc%2FAFHHY18NT0_ddKuYrElMRp5h8A26uAFrBpq7x_FI0VXC4z0muHe1Cu_IagFNywvLJ0qbCqpRie2ttEwtvqvxNqOi9pRO0onnHJMvQDlFIw1mZdzIYStqBraANOCdzr06_5tl6WADL6xLf-B8PY0g24UcKuhtR4CoxGpHQG3VY4VlZIV7CHdnjmjcR7CZ8TzymwLbLlMBvVwFWJFd9XwJQady2JeWRnUDIA5JGLhWWTM%2F43f%2F0r2Q4BaqRmmQYVN_S21GIA%2Fh8%2FpQDB_GXZi9m26P6an8ylBmWY0Tf5PXgV2eblzRZxB4s&amp;data=05%7C02%7C%7C6d9e3a4340a14913bf8108dc21c991b9%7C84df9e7fe9f640afb435aaaaaaaaaaaa%7C1%7C0%7C638422396844128763%7CUnknown%7CTWFpbGZsb3d8eyJWIjoiMC4wLjAwMDAiLCJQIjoiV2luMzIiLCJBTiI6Ik1haWwiLCJXVCI6Mn0%3D%7C0%7C%7C%7C&amp;sdata=o8asvSUFqMmP9nYSK7%2FvIU3pxE0I4%2FGRa71tHK7CgjY%3D&amp;reserved=0" TargetMode="External"/><Relationship Id="rId192" Type="http://schemas.openxmlformats.org/officeDocument/2006/relationships/hyperlink" Target="https://costgpt.ai/" TargetMode="External"/><Relationship Id="rId206" Type="http://schemas.openxmlformats.org/officeDocument/2006/relationships/hyperlink" Target="https://na01.safelinks.protection.outlook.com/?url=https%3A%2F%2Flink.mail.beehiiv.com%2Fss%2Fc%2FAFHHY18NT0_ddKuYrElMRqCnMmeOl4wst7cNUGZ5bmz-0qnXDW_ue3cVmSUdfxNqRUzKJ954mvreFrm6lFQ3bHMyTbR-dYv3z7LtxYfNI5mxgHdFwDtmP4TYzBE9nbrfn_Hg7B2fpHNY9EN3FYOLhmkAEJ9y3BN2FGJTELSEUz4oky-LL1ODi-Mxto9yKaSf%2F428%2FXDkX1EU2RguIZ3sW5zoTXg%2Fh21%2FSF3hP91TkgXsvDD0JMfqdDMkWaAdzvY5DtvST9cM15g&amp;data=05%7C02%7C%7C131e8d403b6f42fc230808dbfff04d7d%7C84df9e7fe9f640afb435aaaaaaaaaaaa%7C1%7C0%7C638385179834664319%7CUnknown%7CTWFpbGZsb3d8eyJWIjoiMC4wLjAwMDAiLCJQIjoiV2luMzIiLCJBTiI6Ik1haWwiLCJXVCI6Mn0%3D%7C3000%7C%7C%7C&amp;sdata=i1jCAeCwry3JaL7zSKjJuoWubp84MXsZpPEEQDWD2Tg%3D&amp;reserved=0" TargetMode="External"/><Relationship Id="rId248" Type="http://schemas.openxmlformats.org/officeDocument/2006/relationships/hyperlink" Target="https://na01.safelinks.protection.outlook.com/?url=https%3A%2F%2Flink.mail.beehiiv.com%2Fss%2Fc%2FjMFTGBN48XY1wUMNWd3dQP-aOTYs0o6Qj_Zubv4ywCZ_ky9kpLIWpxajLxZzrb3c60M2pgYkhUqMomoJy83Q8KrlBcIZmf5wChThms0zT6Ox9DJzwZZkX774i_9DRjxMLc9NVHsh_AxQN-pDxl1-AA0AvAbuBtDkjS5kQkYR8bfsx6rjCZtDNmMi-kgc4BM9xGHABfD52PVevJvI9D9ItgZh57iCAA8KeldpXE8Xlk0%2F43a%2FSBfqDQ9KRHyV3CrIWyfZYw%2Fh13%2FcT3tja5ymvau4l9mTkJnGXMANBCxseX_Gt4f1rwoqN4&amp;data=05%7C02%7C%7C8d8691662dc44d4fd3db08dc1dc8630d%7C84df9e7fe9f640afb435aaaaaaaaaaaa%7C1%7C0%7C638417993786678879%7CUnknown%7CTWFpbGZsb3d8eyJWIjoiMC4wLjAwMDAiLCJQIjoiV2luMzIiLCJBTiI6Ik1haWwiLCJXVCI6Mn0%3D%7C3000%7C%7C%7C&amp;sdata=KkBhtdQWTSHJesIhiKy8z%2BfnU34as4AYPl81phUTCH4%3D&amp;reserved=0" TargetMode="External"/><Relationship Id="rId269" Type="http://schemas.openxmlformats.org/officeDocument/2006/relationships/hyperlink" Target="https://www.paradigmai.com/" TargetMode="External"/><Relationship Id="rId12" Type="http://schemas.openxmlformats.org/officeDocument/2006/relationships/hyperlink" Target="https://na01.safelinks.protection.outlook.com/?url=https%3A%2F%2Flink.mail.beehiiv.com%2Fss%2Fc%2Fu001.2jyg-3usY2mdFujK2m7ZJzIpZoYRjFBZkMnJLNMyFESA5Jw6N0XiUBsktOKRIfz__xztxU68aH47YsT41ChRpTI7A2AuDN3Rnk5KY7PeKeW9gdWnYtIay9wK90xAhDsbdAtJcr_UJblD98cJS1emXKYVlWio7bMrS71pxXo-BhVICCFTyKHgIkwD63mTEE95%2F44n%2Fxj269cubSPCp30rFSwMq3Q%2Fh12%2Fh001.2ebNGfCGuDUvKhS5TJouO5o760onWd1rkTYk1PRPR4k&amp;data=05%7C02%7C%7C26fe665ab5d14c8eff7b08dc4427e76c%7C84df9e7fe9f640afb435aaaaaaaaaaaa%7C1%7C0%7C638460185401052243%7CUnknown%7CTWFpbGZsb3d8eyJWIjoiMC4wLjAwMDAiLCJQIjoiV2luMzIiLCJBTiI6Ik1haWwiLCJXVCI6Mn0%3D%7C0%7C%7C%7C&amp;sdata=dIK5Z%2FRpuVEzZ635GmLgmVa%2FXzKDUTFqUrlh%2BoCAf1E%3D&amp;reserved=0" TargetMode="External"/><Relationship Id="rId33" Type="http://schemas.openxmlformats.org/officeDocument/2006/relationships/hyperlink" Target="https://www.mindos.com/" TargetMode="External"/><Relationship Id="rId108" Type="http://schemas.openxmlformats.org/officeDocument/2006/relationships/hyperlink" Target="https://numerous.ai/" TargetMode="External"/><Relationship Id="rId129" Type="http://schemas.openxmlformats.org/officeDocument/2006/relationships/hyperlink" Target="https://www.creativai.io/" TargetMode="External"/><Relationship Id="rId280" Type="http://schemas.openxmlformats.org/officeDocument/2006/relationships/hyperlink" Target="https://abacus.ai/" TargetMode="External"/><Relationship Id="rId54" Type="http://schemas.openxmlformats.org/officeDocument/2006/relationships/hyperlink" Target="https://go.jeda.ai/rJHfxrtH" TargetMode="External"/><Relationship Id="rId75" Type="http://schemas.openxmlformats.org/officeDocument/2006/relationships/hyperlink" Target="https://na01.safelinks.protection.outlook.com/?url=https%3A%2F%2Flink.mail.beehiiv.com%2Fss%2Fc%2FAFHHY18NT0_ddKuYrElMRsC79YZhD8WlzUuZ-GDa7Bm_FH2FiBlkyRkyiTOhR2h67OsK33_ecFYVsW9YymEW3_w1fZZFoPwhC8z3_zgvwc9-Y78OV9BRBeDaQr64alOguCmWnh1PX2BzE_6IV3Z-0FHaXemACHm_ZKvKVqdKArAGZOosuz38mNO8rPc1Nb-9%2F42c%2F_WBLUzqHQW2DWE7sPqeatg%2Fh16%2FT5csxwASQoSYcyZu7X_KHEvfs0YU3GW9lZE8M-Nt3Ow&amp;data=05%7C02%7C%7C3895aa4839e94f9ef30208dc03111ceb%7C84df9e7fe9f640afb435aaaaaaaaaaaa%7C1%7C0%7C638388619287744292%7CUnknown%7CTWFpbGZsb3d8eyJWIjoiMC4wLjAwMDAiLCJQIjoiV2luMzIiLCJBTiI6Ik1haWwiLCJXVCI6Mn0%3D%7C3000%7C%7C%7C&amp;sdata=i54DCTe%2FLCnK973Uo8uJiSpU6yE9CNNSXgunFWYEkg4%3D&amp;reserved=0" TargetMode="External"/><Relationship Id="rId96" Type="http://schemas.openxmlformats.org/officeDocument/2006/relationships/hyperlink" Target="https://link.mail.beehiiv.com/ss/c/AFHHY18NT0_ddKuYrElMRvo371E-uZ-jYeFxXpF5MvJhGyX2FFdab5wdGmS3AcYDn2vL5gEhvbXBpvoCR1Xd-MY4wx1p8PWOMHWTMUdApqy3K6WNPc6POdwZWPj7_xdQyKL2kFbX_BuNzJjcrzJmu4hR_njfCNzFV0bkWdxNV5-zKsHNB6LoSp89B_VGLevQacL810Jg2IFiiVnWuLjKXgzrPtdPRKpDZWto_jAUZmU/42p/JkpIHFtGTxqXEK5AwNbd_Q/h16/P9eXB7Wq233I24WXkcBga8kUIz7V8hDnCQxzSw5c4ME" TargetMode="External"/><Relationship Id="rId140" Type="http://schemas.openxmlformats.org/officeDocument/2006/relationships/hyperlink" Target="https://na01.safelinks.protection.outlook.com/?url=https%3A%2F%2Flink.mail.beehiiv.com%2Fss%2Fc%2FAFHHY18NT0_ddKuYrElMRrjNzEPLHvUR8JKxpMh2OOQSN7wFcVq1g-N_RRPHVXQO8LVoQTfIuZmpgG1ihl5RBVGrdTb5Y3SnXf_g-2CUFz0wqleU-__gpc3HbirZPaxVcInKi3qKi5X7C2fx2YIHZ9uwQk5tYVVGMYAProJIQd_qpqSkWqNRXtyDXYdTrMi9N-GHf4NSVEga_YK9V5ptBs3qkUVgLbkRqBWvBF0Klxw%2F43a%2FSBfqDQ9KRHyV3CrIWyfZYw%2Fh10%2Frjh0K6C4yPS7vM92wCT7jLf9MAwqKyZfVFYr-LejKnA&amp;data=05%7C02%7C%7C8d8691662dc44d4fd3db08dc1dc8630d%7C84df9e7fe9f640afb435aaaaaaaaaaaa%7C1%7C0%7C638417993786635762%7CUnknown%7CTWFpbGZsb3d8eyJWIjoiMC4wLjAwMDAiLCJQIjoiV2luMzIiLCJBTiI6Ik1haWwiLCJXVCI6Mn0%3D%7C3000%7C%7C%7C&amp;sdata=uI%2FVQi%2B4IA4QWok3C94a1CnanoMz2iwF8cxeRZnol3I%3D&amp;reserved=0" TargetMode="External"/><Relationship Id="rId161" Type="http://schemas.openxmlformats.org/officeDocument/2006/relationships/hyperlink" Target="https://na01.safelinks.protection.outlook.com/?url=https%3A%2F%2Flink.mail.beehiiv.com%2Fss%2Fc%2FAFHHY18NT0_ddKuYrElMRsYszx2xTONEw2KGyQClt1JGq2Tngby_Lgf2JqeGp1pBVi_sCvQz7uXApbBCIP6MrSNdaO_w1P3vRnm-NheQcjvlv2Jz9XI14Vi8fw14q1j6CCLBOjaPQ36Fh-6KF2pf80zIqPHblLCl0tU-RQ2ihRNRTftGGPrJEubfT5t6knMKeLkE76Qgg8F_j1ttNq_FXw%2F43m%2FvFXgn5S6T7Sw99TphhHG7Q%2Fh9%2FoaSzOeeMIvEuVsuoL3hULt9vEtc_qkwjrXMotu7_7w0&amp;data=05%7C02%7C%7C2468f54dedf74fd6b8bf08dc271ca354%7C84df9e7fe9f640afb435aaaaaaaaaaaa%7C1%7C0%7C638428251196495198%7CUnknown%7CTWFpbGZsb3d8eyJWIjoiMC4wLjAwMDAiLCJQIjoiV2luMzIiLCJBTiI6Ik1haWwiLCJXVCI6Mn0%3D%7C0%7C%7C%7C&amp;sdata=NC5jX2LhJd3CPLedDR38vUxqQoEVQG5x6OzDp7ba6EI%3D&amp;reserved=0" TargetMode="External"/><Relationship Id="rId182" Type="http://schemas.openxmlformats.org/officeDocument/2006/relationships/hyperlink" Target="https://www.usemotion.com/" TargetMode="External"/><Relationship Id="rId217" Type="http://schemas.openxmlformats.org/officeDocument/2006/relationships/hyperlink" Target="https://link.mail.beehiiv.com/ss/c/2AzrNw8_0McR5ZHRioFSTrfWDFJC6G_klBO8EbxVqI8N-tY3He86025WlwrnQ0D1lS61mcm2NF09rmDoHUKzcTuXMe7pqZJ-pELm_5XphATsnQYJn3fTzYXX2AAgRXBBTyxZg2V1C_X3ZoEXPjsUXHuS09JWwyhCNmLTRm4EA2AY7OqxvMIqA8CoiS1rvMJX/42j/zCbDb32ySbSS13cvqNaY0w/h7/P81o8Ens5XilcUrYQNs9sOLqX79-fuczdJ0HgCgNwr0" TargetMode="External"/><Relationship Id="rId6" Type="http://schemas.openxmlformats.org/officeDocument/2006/relationships/hyperlink" Target="https://link.mail.beehiiv.com/ss/c/u001.QR8PDET7GVRZS9oWC_jpgFob91XGn4pGqvcczB0hOCEMcQLs74CdyZMz9OkxMhGr5wMO7slBnctIHBdmj3yPBpsz22Tw8NcbPahnEBZSQDpewULOl9tI67HHgHMRtONEHBjr1JfBwJ0rnMQcZApGkbxEAK2754j1_L1ruaGnCnhMjFGauoDZqld3n_yM62SBb8W4L-QVHtKdeuWpshvZlU-LhegwPL-KDCv_8UunY-w/4gg/HgeCLxoFSoi-I1dK5yQQLA/h32/h001.8O1h93jZPc2lppElh0NjLIN7xrrGYKasBa62uAaLauw" TargetMode="External"/><Relationship Id="rId238" Type="http://schemas.openxmlformats.org/officeDocument/2006/relationships/hyperlink" Target="https://link.mail.beehiiv.com/ss/c/-72w8iesgkP33vyeWj1Mx1PMDtLo2mPZpfPdCkIzcMLFzMqaKpJdKX1Jr_CejCIbe5KXI7xwSdo1MkqLIskeiTfE-Zxm1gLpUFna5VGjyCW1U9eqWecXDm6a1PiZqZ1AKiugTjhR7k3pQbaQrYQ-GXlizxNkL9xsX7pFZWIemJABDLjeyCuzHK62Zhmj-oHo/430/QYqyBXEUQLScFHRqIGvV6A/h11/Av8tlREodwVNYUfaznu16fKqBrfL4Jx0ZqXWaYuvLNM" TargetMode="External"/><Relationship Id="rId259" Type="http://schemas.openxmlformats.org/officeDocument/2006/relationships/hyperlink" Target="https://na01.safelinks.protection.outlook.com/?url=https%3A%2F%2F31634813.bhclick.com%2Fss%2Fc%2FAFHHY18NT0_ddKuYrElMRn7n-0I_t-O-9CAYkEKgnYsOmAd9C0ghXOTbKD5zt7YdMl2IJCNjDQ1v-xP0MUFjmPTzPJpl6nYbQCj3YhPfIE4s39YUEDnz8tf9ag7judPI_ujxyP7Uk4HajkSmEP3nSgEurdQXulpf9CmbmiOkA4S1wAXbb9GyOJBhA8OmWeky8Mr7EZzzKbE1nwZB1Cd57g%2F43o%2FTYbM0llAQ9i5NV5nw08yTw%2Fh9%2FOP01A7WPQXtW7bxReB6K05R0mLMsjlYO7FSi1lKtyrY&amp;data=05%7C02%7C%7C9033785e649243c4dfaa08dc28c8a6bc%7C84df9e7fe9f640afb435aaaaaaaaaaaa%7C1%7C0%7C638430089486074960%7CUnknown%7CTWFpbGZsb3d8eyJWIjoiMC4wLjAwMDAiLCJQIjoiV2luMzIiLCJBTiI6Ik1haWwiLCJXVCI6Mn0%3D%7C0%7C%7C%7C&amp;sdata=pcq9gHxdZ0xYaa%2FT9W0RJQ%2B3iFq64o4sHU7%2BQ63NjUA%3D&amp;reserved=0" TargetMode="External"/><Relationship Id="rId23" Type="http://schemas.openxmlformats.org/officeDocument/2006/relationships/hyperlink" Target="https://superhuman.com/" TargetMode="External"/><Relationship Id="rId119" Type="http://schemas.openxmlformats.org/officeDocument/2006/relationships/hyperlink" Target="https://link.mail.beehiiv.com/ss/c/AFHHY18NT0_ddKuYrElMRrUIsiuCHZ13uTl887Vz8bz5H7q-aYrOg374wdV37plbWygEDnhhpo-kdW5grRUWfa-m_xiQc-ZoxU6EwsUBdYRSpqAg6zbgl1iMHM9Wy76rGl1c759lhrpHgkEfzo2_-k8Xnzx00QOYSe3hkvaqF-mAslTSZxN9-T68KZ5s0Xt5/430/QYqyBXEUQLScFHRqIGvV6A/h16/TpUFxzg9vy_vmQJYnPJRnG854_Ssi0jxnzT9mSqmkE8" TargetMode="External"/><Relationship Id="rId270" Type="http://schemas.openxmlformats.org/officeDocument/2006/relationships/hyperlink" Target="https://excelmatic.ai/" TargetMode="External"/><Relationship Id="rId291" Type="http://schemas.openxmlformats.org/officeDocument/2006/relationships/hyperlink" Target="https://www.hyperagent.com/" TargetMode="External"/><Relationship Id="rId44" Type="http://schemas.openxmlformats.org/officeDocument/2006/relationships/hyperlink" Target="https://www.mentimeter.com/" TargetMode="External"/><Relationship Id="rId65" Type="http://schemas.openxmlformats.org/officeDocument/2006/relationships/hyperlink" Target="https://na01.safelinks.protection.outlook.com/?url=https%3A%2F%2Flink.mail.beehiiv.com%2Fss%2Fc%2FAFHHY18NT0_ddKuYrElMRrCcp2IMNBxi_XpiIklx4K1TkcMmo-JeadCgjXHSgu_qypTem5wSaSg9zYHOBbFZsYJopCPgivmFbl0_HomHVizj3T8rNy2I92rALweUBlUAxlWAYw_K396gBqf4cN_1sD6pN9W5Xjo_ZHXBGrkwN06MOge9QzsgN7XOomFV6Ppl%2F428%2FXDkX1EU2RguIZ3sW5zoTXg%2Fh18%2F2C-_Bwu05hLBmjTdQ9KEYe5HlhHUjN75y9bVwM8LGgc&amp;data=05%7C02%7C%7C131e8d403b6f42fc230808dbfff04d7d%7C84df9e7fe9f640afb435aaaaaaaaaaaa%7C1%7C0%7C638385179834664319%7CUnknown%7CTWFpbGZsb3d8eyJWIjoiMC4wLjAwMDAiLCJQIjoiV2luMzIiLCJBTiI6Ik1haWwiLCJXVCI6Mn0%3D%7C3000%7C%7C%7C&amp;sdata=t7IB%2BSgzD3zEW9iDJFpZL6CxMQYYx4brm1H7QZmKNq4%3D&amp;reserved=0" TargetMode="External"/><Relationship Id="rId86" Type="http://schemas.openxmlformats.org/officeDocument/2006/relationships/hyperlink" Target="https://link.mail.beehiiv.com/ss/c/POWe797IScGqQ9xtiHvVyITpz1X-DjuhqyBleB1i9h3CVKXWuebxSTku4Y5h_Y2eTw-BdtsAGe7mMylPiXXckwC1PofWbMj8QetAz8NHvuoGYe47TQxvyM3V7g026WRgcNXOhP5FCmUjcUAztyGw5s3vtm0qUT8m6vWRlaLiQFo/42n/9aXz3kL9RF6U874vSWwJ_w/h18/CedtS7Lp9JzW46zQPKN4618BFBLH0aFRu-MWZrL50v4" TargetMode="External"/><Relationship Id="rId130" Type="http://schemas.openxmlformats.org/officeDocument/2006/relationships/hyperlink" Target="https://link.mail.beehiiv.com/ss/c/8Y-VoJkoDnX1zI1WLAgXF23gl8RSlpnyvGbNai2qaL-UNd9QPSN8DpewMdYws5F3zMe2nc4pDCIdzSWShSfXAeggoNY6TkoJtb_t2IpksaS8jn1cqcd6nig7VBy1vd_B3LtNAX2jO4xJZkfm7UxUvOGkY28XvSKeASEXHxzhi4ob-T2aOm1ROLKnJn4FC_5zu7WrB5f_X6oi0HY1puLH5w/433/7TY_PSLvRgWzYPJETFX2uA/h6/9v6SGxZq_7mymIXeJish9dqcB6llNKXut2cIp3_nyec" TargetMode="External"/><Relationship Id="rId151" Type="http://schemas.openxmlformats.org/officeDocument/2006/relationships/hyperlink" Target="https://na01.safelinks.protection.outlook.com/?url=https%3A%2F%2Flink.mail.beehiiv.com%2Fss%2Fc%2F8iXKAwwMM1W-cI7L7LOvGm86cAYCrhM4Em6VgOvqfCh9B9mK_JMcq109RTpMSu1J8bAmWcdCDGt8Q_Suhu5iUTT1dyu1XqjBQgP6zdY2BbPvmeOAl8D4BmPuX0sTevuzNQILrthXJOeZZRzrp46RpJwE9yOnzv0lSOQGP-iuphBQQvrq82fe8GZEVrj3tcMQwIL9ZO9ahmkhBKUBbc_tOg%2F43g%2FQcjk83mMQvO9rrwO7Q77Sg%2Fh8%2FRdmfGzIiEslUMYsqQxGREOJBXklCMlb2gVLoqS2o5lc&amp;data=05%7C02%7C%7C10d9f89712e243b44f0908dc2283399d%7C84df9e7fe9f640afb435aaaaaaaaaaaa%7C1%7C0%7C638423194224369764%7CUnknown%7CTWFpbGZsb3d8eyJWIjoiMC4wLjAwMDAiLCJQIjoiV2luMzIiLCJBTiI6Ik1haWwiLCJXVCI6Mn0%3D%7C0%7C%7C%7C&amp;sdata=NfUzaJdwGXaGb%2BZ7VWCUyM5tODVRwJPTprEuwBvq7aA%3D&amp;reserved=0" TargetMode="External"/><Relationship Id="rId172" Type="http://schemas.openxmlformats.org/officeDocument/2006/relationships/hyperlink" Target="https://www.sectionschool.com/" TargetMode="External"/><Relationship Id="rId193" Type="http://schemas.openxmlformats.org/officeDocument/2006/relationships/hyperlink" Target="https://pitchpower.ai/" TargetMode="External"/><Relationship Id="rId207" Type="http://schemas.openxmlformats.org/officeDocument/2006/relationships/hyperlink" Target="https://na01.safelinks.protection.outlook.com/?url=https%3A%2F%2Flink.mail.beehiiv.com%2Fss%2Fc%2FAFHHY18NT0_ddKuYrElMRrCcp2IMNBxi_XpiIklx4K1TkcMmo-JeadCgjXHSgu_qypTem5wSaSg9zYHOBbFZsYJopCPgivmFbl0_HomHVizj3T8rNy2I92rALweUBlUAxlWAYw_K396gBqf4cN_1sD6pN9W5Xjo_ZHXBGrkwN06MOge9QzsgN7XOomFV6Ppl%2F428%2FXDkX1EU2RguIZ3sW5zoTXg%2Fh18%2F2C-_Bwu05hLBmjTdQ9KEYe5HlhHUjN75y9bVwM8LGgc&amp;data=05%7C02%7C%7C131e8d403b6f42fc230808dbfff04d7d%7C84df9e7fe9f640afb435aaaaaaaaaaaa%7C1%7C0%7C638385179834664319%7CUnknown%7CTWFpbGZsb3d8eyJWIjoiMC4wLjAwMDAiLCJQIjoiV2luMzIiLCJBTiI6Ik1haWwiLCJXVCI6Mn0%3D%7C3000%7C%7C%7C&amp;sdata=t7IB%2BSgzD3zEW9iDJFpZL6CxMQYYx4brm1H7QZmKNq4%3D&amp;reserved=0" TargetMode="External"/><Relationship Id="rId228" Type="http://schemas.openxmlformats.org/officeDocument/2006/relationships/hyperlink" Target="https://link.mail.beehiiv.com/ss/c/AFHHY18NT0_ddKuYrElMRnQJW-EKcCEz4ymb5fMZgFSv-UER-jzP99DkHKFZQBMPMjBgEu66r5Yeec0lG14jbuiAFL3ZLiHdfQCVUS5BI-3Ym6aJrCIUigleMknUvz3X_wyd9xcqJ38FePUNZ6LFqmHSDl-peigzfML7u1QGBDA5kYsjVnOYlp1pgvyhnBwT/42t/BW-dfpFeS66B4-Va138g3w/h11/QkX56i5QEJTHp1UGiVpfKNJpdF-oVnyRooLoJPPBnYA" TargetMode="External"/><Relationship Id="rId249" Type="http://schemas.openxmlformats.org/officeDocument/2006/relationships/hyperlink" Target="https://na01.safelinks.protection.outlook.com/?url=https%3A%2F%2Flink.mail.beehiiv.com%2Fss%2Fc%2FAFHHY18NT0_ddKuYrElMRtYmlG9MpYfViVkvPghxwQXRVSXA0QX5uBzSuQOPqSSOzFUAqc4w2z2bDHez1G34pUsU4WHgw_xij8P60JQibbVmgHiye10WGhR3J7EqfMO2f2AANhf_McqlFKB5Tr-ECgSBw4sP580vF94u_nB0inz_Ltl1ih00DdNOqyGSU7Dr%2F43b%2Fg-mITXHHSLuvA4Zs9JyXYQ%2Fh11%2FODVGz3KvTeXI4xLGBRpwcneFjIB_kB9LdW5La6y_efY&amp;data=05%7C02%7C%7C45409b8562984e3a1b0308dc1e918710%7C84df9e7fe9f640afb435aaaaaaaaaaaa%7C1%7C0%7C638418857628349429%7CUnknown%7CTWFpbGZsb3d8eyJWIjoiMC4wLjAwMDAiLCJQIjoiV2luMzIiLCJBTiI6Ik1haWwiLCJXVCI6Mn0%3D%7C3000%7C%7C%7C&amp;sdata=cd7IhhQuw7AtKrWuBkDPyu1VqNvC%2FRsYxY3tp1e6%2B0U%3D&amp;reserved=0" TargetMode="External"/><Relationship Id="rId13" Type="http://schemas.openxmlformats.org/officeDocument/2006/relationships/hyperlink" Target="https://na01.safelinks.protection.outlook.com/?url=https%3A%2F%2Flink.mail.beehiiv.com%2Fss%2Fc%2Fu001.QR8PDET7GVRZS9oWC_jpgCKu40y76QPgmyQJRpIkbbyhTbhDsLp5bGLA-W9KCYhlyNeGFbtnufzNZb3N5SZyiw-XCaGiSzkACwivu7_iU2yG-Jr4p5KcgQj1CUoVBnVsbM3LDt0L4InFFmrTtp37lUDPWwUcMtTNHG4mr7ASGfQ%2F44r%2FlBIL-YI8SSydaGrvmLxthA%2Fh13%2Fh001.guYiczXSy9O3C_alh3Gkcl69xA5Dg9JNzsbDc4N8onE&amp;data=05%7C02%7C%7Cf7b72fa7cfda4aa2db1c08dc475d6377%7C84df9e7fe9f640afb435aaaaaaaaaaaa%7C1%7C0%7C638463713718394770%7CUnknown%7CTWFpbGZsb3d8eyJWIjoiMC4wLjAwMDAiLCJQIjoiV2luMzIiLCJBTiI6Ik1haWwiLCJXVCI6Mn0%3D%7C0%7C%7C%7C&amp;sdata=YB%2BOCou4e2LoCvBVTi8wtBt2Y8QYmWF16Mjv5bt1VK8%3D&amp;reserved=0" TargetMode="External"/><Relationship Id="rId109" Type="http://schemas.openxmlformats.org/officeDocument/2006/relationships/hyperlink" Target="https://link.mail.beehiiv.com/ss/c/yAczCiX-iyAkwj0X9QHq0ti3LdauHeIgPzEUuaBesBTkJif3VL1_ZQs3wUZSEzhmjSIoJ0wDwfhdNOS4NAIh1Z9gB8xdBLqBddQZUvXpjc_F8jC-vc777x0zH9Q5DD1Hz8pcQ2t3bxh8ndiRCkpJdpmWdw7OkfucwpoURpr0lVR_OiD8lh76lnIS-IGlqiin/42u/7ijIU-6iRHWmiXPyYZP5TQ/h11/00u84K7-a08kKLfyeaep5i0obwtSie4ATPjvdsDWEkQ" TargetMode="External"/><Relationship Id="rId260" Type="http://schemas.openxmlformats.org/officeDocument/2006/relationships/hyperlink" Target="https://copilot.microsoft.com/" TargetMode="External"/><Relationship Id="rId281" Type="http://schemas.openxmlformats.org/officeDocument/2006/relationships/hyperlink" Target="https://www.make.com/" TargetMode="External"/><Relationship Id="rId34" Type="http://schemas.openxmlformats.org/officeDocument/2006/relationships/hyperlink" Target="https://convergence.ai/" TargetMode="External"/><Relationship Id="rId55" Type="http://schemas.openxmlformats.org/officeDocument/2006/relationships/hyperlink" Target="https://mitenmit.github.io/gpt/?utm_source=www.superhuman.ai&amp;utm_medium=newsletter&amp;utm_campaign=openai-and-meta-announce-efforts-to-fight-ai-generated-deepfakes" TargetMode="External"/><Relationship Id="rId76" Type="http://schemas.openxmlformats.org/officeDocument/2006/relationships/hyperlink" Target="https://www.getinboxzero.com/" TargetMode="External"/><Relationship Id="rId97" Type="http://schemas.openxmlformats.org/officeDocument/2006/relationships/hyperlink" Target="https://link.mail.beehiiv.com/ss/c/POWe797IScGqQ9xtiHvVyEafUBv3GxH3rnKKVYnIjGOqK2bPqdgdx9R6BGMyJt7HbHp1kYbtEwVPRayO_Xx72iEEnBqKC_OIhxnLEEEaRMc4H1I_lJORHznFKNKuDbXmpJW8qPAweMG_RtRHqeWd63YQW4QyQkHIotiDJvDtBNTbmbHVFR-N01lkepE1fIpve0rEQ2wiAD1gFoK5MnQGxShh_0SD7OMkhdhquMLpaIs/42p/JkpIHFtGTxqXEK5AwNbd_Q/h15/KnaNQQ8HRSsu_AgTq3NJnJ86D6C3A_xevRmFONvx8_Y" TargetMode="External"/><Relationship Id="rId120" Type="http://schemas.openxmlformats.org/officeDocument/2006/relationships/hyperlink" Target="https://link.mail.beehiiv.com/ss/c/oPK9TvOEo1ZeXdOJwVOhaR6saoSHFpOB1gozs77ItUL8kKq_5LTCA1SJZ5fuG54Mt9L121voFcYJsH_jvWtt3l36V_yQiw3ZxEIGKYG888zBvp0AeDQvPmdp8tGkouGpl1KTi01GtERkZrVYcpMgDXBSf9IVr3NmITPo34C8We8AdzT8s29YXWAyy2KyJvnb/430/QYqyBXEUQLScFHRqIGvV6A/h15/xk-lqHJv9Cg6k1Uhw0QRZDfx9nfiRI3LctxrdM_YEVQ" TargetMode="External"/><Relationship Id="rId141" Type="http://schemas.openxmlformats.org/officeDocument/2006/relationships/hyperlink" Target="https://www.decktopus.com/" TargetMode="External"/><Relationship Id="rId7" Type="http://schemas.openxmlformats.org/officeDocument/2006/relationships/hyperlink" Target="https://rapidscan.ai/" TargetMode="External"/><Relationship Id="rId162" Type="http://schemas.openxmlformats.org/officeDocument/2006/relationships/hyperlink" Target="https://na01.safelinks.protection.outlook.com/?url=https%3A%2F%2Flink.mail.beehiiv.com%2Fss%2Fc%2FAFHHY18NT0_ddKuYrElMRnjr6al3gNq_NUurxiVdAOu7eyJqTc65wyU1BrDraZgkUhMV0a1hylvCG3qGkPeyHQQiBHYMrT8SLPLcMQsRjAKSdtTpg-LtUIKTNRlvE5pX6m_3Q4S1jrHFhthYoOAR-EVYyCdWe-d4BjHjDIExKcFIsZ1WEqtwCr7F5dzjqOXczQatqWICfK0gujyqCaKZ-Q%2F43m%2FvFXgn5S6T7Sw99TphhHG7Q%2Fh7%2Fhi-rPeUxbdQ2znb-muvMf4uWyxjp9P0wJVUNZmicLdk&amp;data=05%7C02%7C%7C2468f54dedf74fd6b8bf08dc271ca354%7C84df9e7fe9f640afb435aaaaaaaaaaaa%7C1%7C0%7C638428251196482031%7CUnknown%7CTWFpbGZsb3d8eyJWIjoiMC4wLjAwMDAiLCJQIjoiV2luMzIiLCJBTiI6Ik1haWwiLCJXVCI6Mn0%3D%7C0%7C%7C%7C&amp;sdata=k1CqxmJS7T3rzFQvf1JD7Blask3GQ0xv3imz0koY%2BGI%3D&amp;reserved=0" TargetMode="External"/><Relationship Id="rId183" Type="http://schemas.openxmlformats.org/officeDocument/2006/relationships/hyperlink" Target="https://www.inncivio.com/" TargetMode="External"/><Relationship Id="rId218" Type="http://schemas.openxmlformats.org/officeDocument/2006/relationships/hyperlink" Target="https://link.mail.beehiiv.com/ss/c/POWe797IScGqQ9xtiHvVyITpz1X-DjuhqyBleB1i9h3CVKXWuebxSTku4Y5h_Y2eTw-BdtsAGe7mMylPiXXckwC1PofWbMj8QetAz8NHvuoGYe47TQxvyM3V7g026WRgcNXOhP5FCmUjcUAztyGw5s3vtm0qUT8m6vWRlaLiQFo/42n/9aXz3kL9RF6U874vSWwJ_w/h18/CedtS7Lp9JzW46zQPKN4618BFBLH0aFRu-MWZrL50v4" TargetMode="External"/><Relationship Id="rId239" Type="http://schemas.openxmlformats.org/officeDocument/2006/relationships/hyperlink" Target="https://link.mail.beehiiv.com/ss/c/AFHHY18NT0_ddKuYrElMRoW2KOggb2m0Obgwk3LyheUesaHyqhP-TPuvb2arl2UB0y22lCfTHYeqlzYqi5FMLKUJCO0C2wHEfcIl71fVxHqY2HoEQC2iQiUjl1d2EtSgsvSovOeMTVGpUlEgVI0pecB4jfpcvbQJTNqT5Qj2NWju7n5Lblq9CI-B9hN2Q__C/432/uYDT4K0OT3-IxStQIaXqyA/h13/Hl9aSIeaavoWDHKB_htEJU2d0519Ke4D5WaT6BiCcyg" TargetMode="External"/><Relationship Id="rId250" Type="http://schemas.openxmlformats.org/officeDocument/2006/relationships/hyperlink" Target="https://na01.safelinks.protection.outlook.com/?url=https%3A%2F%2Flink.mail.beehiiv.com%2Fss%2Fc%2FAFHHY18NT0_ddKuYrElMRjx7X7PQfg8tdv6BwGfB2nMQsADE-O1-vuFK7wO-s4WOM-ZuYsWRgkPdHTuVQFEzGvxs8iTQMJRvDfPDfCiqpbFc9LdE-hy1HcOwLDTd_HRH-6b0gXA6Kd-u0tQEVLEx4QuA5x0OsfnjKxET6WFaiBUJBLcMC6xz4VRNP1SXv0KvEUqsPC4XqgGIo5l4R55U4qWjoqggY6NXFV4D1-9oeew%2F43f%2F0r2Q4BaqRmmQYVN_S21GIA%2Fh9%2FiWQpa6I08Wl0fmEWV-qtNyLx2X43CNIAFtW7CYQbuwM&amp;data=05%7C02%7C%7C6d9e3a4340a14913bf8108dc21c991b9%7C84df9e7fe9f640afb435aaaaaaaaaaaa%7C1%7C0%7C638422396844138731%7CUnknown%7CTWFpbGZsb3d8eyJWIjoiMC4wLjAwMDAiLCJQIjoiV2luMzIiLCJBTiI6Ik1haWwiLCJXVCI6Mn0%3D%7C0%7C%7C%7C&amp;sdata=NLD7bKdZHbCRNM1NhAPfxDV4GhhUGIfC52QEqo00YdU%3D&amp;reserved=0" TargetMode="External"/><Relationship Id="rId271" Type="http://schemas.openxmlformats.org/officeDocument/2006/relationships/hyperlink" Target="https://leeroo.com/" TargetMode="External"/><Relationship Id="rId24" Type="http://schemas.openxmlformats.org/officeDocument/2006/relationships/hyperlink" Target="https://lateron.email/" TargetMode="External"/><Relationship Id="rId45" Type="http://schemas.openxmlformats.org/officeDocument/2006/relationships/hyperlink" Target="https://www.hcompany.ai/" TargetMode="External"/><Relationship Id="rId66" Type="http://schemas.openxmlformats.org/officeDocument/2006/relationships/hyperlink" Target="https://www.smartly.io/" TargetMode="External"/><Relationship Id="rId87" Type="http://schemas.openxmlformats.org/officeDocument/2006/relationships/hyperlink" Target="https://www.opengenie.ai/" TargetMode="External"/><Relationship Id="rId110" Type="http://schemas.openxmlformats.org/officeDocument/2006/relationships/hyperlink" Target="https://link.mail.beehiiv.com/ss/c/oPK9TvOEo1ZeXdOJwVOhadJZ6-Ayj_6uEwA9O2VUieUL-ICKR8RnZcPsmXUhYRISxCGkMpSieDLrG8zstWkQGblUfHaPYCT6z0a5TRxl893aJY6wuEBfsVROzWS9hielorJBcYVI7BrNyH430XJJ5Rqch-5DLf7SJN6tK3JiA7v8t7_QRK7E_llLDJ_JsMsW/42u/7ijIU-6iRHWmiXPyYZP5TQ/h10/jxvUTZqT10kSeSW8nrPIdCtsV3CFgadAa8XMX2hK0O8" TargetMode="External"/><Relationship Id="rId131" Type="http://schemas.openxmlformats.org/officeDocument/2006/relationships/hyperlink" Target="https://na01.safelinks.protection.outlook.com/?url=https%3A%2F%2Flink.mail.beehiiv.com%2Fss%2Fc%2FAFHHY18NT0_ddKuYrElMRkCfZdsSdKlC-w9f0RNAublDr1WQJK3vBtFx9YZHQucEOg91Mle8nyadJgImIoFz6Bx6aC1Tr_UvI1jcDrhX10vc4-KesO1Kf2ZkpURXiT4adCmZ__EVnVx6THFXb8V1Org4nZ0Cq_qcwKF4j-QmZFi0vui8ELbKqqEgKbIpyLdWu9HyaNW8edBig4xXeVQcOwEN_GO6Mq8XDvAO-yUs8bs%2F437%2F4vbfGtooTOG-XpTsrdoYDw%2Fh17%2F0oGAoGdKRZdO8YLNA5venZWmdU8QZWBr3ftruLybH94&amp;data=05%7C02%7C%7C86c4e1f9c72b4f721b0308dc1b6c231b%7C84df9e7fe9f640afb435aaaaaaaaaaaa%7C1%7C0%7C638415398499300788%7CUnknown%7CTWFpbGZsb3d8eyJWIjoiMC4wLjAwMDAiLCJQIjoiV2luMzIiLCJBTiI6Ik1haWwiLCJXVCI6Mn0%3D%7C3000%7C%7C%7C&amp;sdata=%2FmR4P6ptE5fv9RpQVaUcocqoqsMq3CQsPklyAxqPi3M%3D&amp;reserved=0" TargetMode="External"/><Relationship Id="rId152" Type="http://schemas.openxmlformats.org/officeDocument/2006/relationships/hyperlink" Target="https://www.huudle.io/" TargetMode="External"/><Relationship Id="rId173" Type="http://schemas.openxmlformats.org/officeDocument/2006/relationships/hyperlink" Target="https://brandwell.ai/" TargetMode="External"/><Relationship Id="rId194" Type="http://schemas.openxmlformats.org/officeDocument/2006/relationships/hyperlink" Target="https://parsio.io/" TargetMode="External"/><Relationship Id="rId208" Type="http://schemas.openxmlformats.org/officeDocument/2006/relationships/hyperlink" Target="https://na01.safelinks.protection.outlook.com/?url=https%3A%2F%2Flink.mail.beehiiv.com%2Fss%2Fc%2FYHTaa2XonDw2f6U1lKEHzcbPtVxLLK3P23Ej8ZqWRPrgGkhbSjYCUfXcttkBTjbHRLHQO9S4QG0243N4WGxNd-1-2ahpAFlgDFyUDoUQBu479ZpKZgvlAwIldjvxSEq55qa-mNVXNl2znlx5kvsaHg-2ez6rmUrzB2miO0AMGRADltJmf2pilRN1kU7KrCXw%2F429%2Fh2pqv3d1RQ67Bfh-NIiP1A%2Fh19%2FikbS-MNAs8-araeY7iouikyyix39objHvKooRm_y9xQ&amp;data=05%7C02%7C%7C217feb6faf81474831eb08dc00b512fe%7C84df9e7fe9f640afb435aaaaaaaaaaaa%7C1%7C0%7C638386025021594445%7CUnknown%7CTWFpbGZsb3d8eyJWIjoiMC4wLjAwMDAiLCJQIjoiV2luMzIiLCJBTiI6Ik1haWwiLCJXVCI6Mn0%3D%7C3000%7C%7C%7C&amp;sdata=%2F8u5PGv0h4duMeTBBHBfwanUDnB9WoOU8KICXWc0WCs%3D&amp;reserved=0" TargetMode="External"/><Relationship Id="rId229" Type="http://schemas.openxmlformats.org/officeDocument/2006/relationships/hyperlink" Target="https://link.mail.beehiiv.com/ss/c/UuCNtwnEAMcjpu9jaML3rFj1HHxgG_k45J4VWQwTjIvlgarH9bFsDGq6rFse4sqCGDCsV922A-iDRwrSyPC4Tx0l8kKb2fufDKuprxlAu8YQcBn1zM6PeTtc7zCAqXSp-GyiUvyf6nRQ8R6c1qAO-gNXhFQ3YlQoN8AQB2xralA/42t/BW-dfpFeS66B4-Va138g3w/h10/FwA2S5isSvjUOA9gWYnfpW343muj1_WflWbYKKlwTws" TargetMode="External"/><Relationship Id="rId240" Type="http://schemas.openxmlformats.org/officeDocument/2006/relationships/hyperlink" Target="https://link.mail.beehiiv.com/ss/c/AFHHY18NT0_ddKuYrElMRtVGLL4MtLojcsV1Uoc_SlNpTBo7HDdLAE_YPXpx0tVY-RP0bzGH_oqhqQrUXWrtxRhnE0b07_T9E28Mr3I6IKFPn4DeJNijeBSuwt8JaeFYsMziUL0f_SU82V9H5qD_N7DtwHpPkup2X-RBp5YfoGI/432/uYDT4K0OT3-IxStQIaXqyA/h11/hQP9PaIzEGn0tEnXtd6x5CbueappVRiVADsEEH6JKVE" TargetMode="External"/><Relationship Id="rId261" Type="http://schemas.openxmlformats.org/officeDocument/2006/relationships/hyperlink" Target="https://www.file.ai/" TargetMode="External"/><Relationship Id="rId14" Type="http://schemas.openxmlformats.org/officeDocument/2006/relationships/hyperlink" Target="https://aws.amazon.com/bedrock/" TargetMode="External"/><Relationship Id="rId35" Type="http://schemas.openxmlformats.org/officeDocument/2006/relationships/hyperlink" Target="https://incogni.com/" TargetMode="External"/><Relationship Id="rId56" Type="http://schemas.openxmlformats.org/officeDocument/2006/relationships/hyperlink" Target="https://na01.safelinks.protection.outlook.com/?url=https%3A%2F%2Flink.mail.beehiiv.com%2Fss%2Fc%2FAFHHY18NT0_ddKuYrElMRu58GYaawqbAhMHZGghiU7bfYAZNLDBnfmj43RIf1QBJUTcj4dA4PTGG9hrOBpPCc9SuUAS2SBnn0viFqGgbK__bEQ9ogz20NYgQcIgF1xCoUiokhCEqzWVcGn3wUH6wTCKOZreuFTwu0U20U07BqjX--6fXMHX8PlqnT7Dt8osS%2F424%2FBVkUGzYrTG-kh98VJPJSTw%2Fh20%2F8OLFKsg1bcRLKePQQ8BmnS54fI-X0-bCG_KPqRiwRRk&amp;data=05%7C02%7C%7Cfd3a0e0a2d644921ca6c08dbfcc76b46%7C84df9e7fe9f640afb435aaaaaaaaaaaa%7C1%7C0%7C638381705721564271%7CUnknown%7CTWFpbGZsb3d8eyJWIjoiMC4wLjAwMDAiLCJQIjoiV2luMzIiLCJBTiI6Ik1haWwiLCJXVCI6Mn0%3D%7C3000%7C%7C%7C&amp;sdata=dILcqnZhQh7dVADu8liAK6Uaqxk9lhB727vEnZ7N%2B%2Fc%3D&amp;reserved=0" TargetMode="External"/><Relationship Id="rId77" Type="http://schemas.openxmlformats.org/officeDocument/2006/relationships/hyperlink" Target="https://link.mail.beehiiv.com/ss/c/8iXKAwwMM1W-cI7L7LOvGonLCHF6B4p42HQRFvwehtrjdvCHnbecO1dObbkzwuACRyd8Fvx5F3HqVx3VWZN7W12ao7WS0VmXjlSqbXqrl7WDHQ-li5Xh6vNWltwzKKKjMQwd36xfdHH_5H_-pgkgoy1-gMU0lzUxImLunyRqwuV319XKZPoD_iOjCF44gPO7rr9pXrT18foLg-Dg4BfebOF9Jh7nBNf8AcKrIua5nFo/42i/j5yR117ZR1WBEiOGjECApA/h14/W9eMNYdEchEWi7rcT12iZsdmIpsexBB-RuoqDcDEJG0" TargetMode="External"/><Relationship Id="rId100" Type="http://schemas.openxmlformats.org/officeDocument/2006/relationships/hyperlink" Target="https://link.mail.beehiiv.com/ss/c/AFHHY18NT0_ddKuYrElMRquJXD5Yrkp6oyQ6yDVP8Nb5-sFGdLaElnBjznwl1sDf_zHZS_B5sIRbIgzmQ2kxVRhgAEp7VZkF6KRGKKKkLOVjQrLC0uxmwKzsgQ2PWd7P53ef9TRqzCq-2q5VppbRIEaxyUkmzgbaLUkoo5TSb9e6el7zJhJ9s2VprlqkMAHx/42q/5ebzjuGYTpeLqWW_4G4DIQ/h11/GJLRNHq1PN5b4IZ2mPMDW9-3VlKsEm28GYiiTlleNrc" TargetMode="External"/><Relationship Id="rId282" Type="http://schemas.openxmlformats.org/officeDocument/2006/relationships/hyperlink" Target="https://www.smartsheet.com/" TargetMode="External"/><Relationship Id="rId8" Type="http://schemas.openxmlformats.org/officeDocument/2006/relationships/hyperlink" Target="https://parseur.com/" TargetMode="External"/><Relationship Id="rId98" Type="http://schemas.openxmlformats.org/officeDocument/2006/relationships/hyperlink" Target="https://link.mail.beehiiv.com/ss/c/jMFTGBN48XY1wUMNWd3dQAQq9Bf1WZhBol7CKcCgBKEpSW9hbiZX96kPsFOqPqfMLLTixOqepR2BWQz_kBVhospBw6UShPuT4mFCIYj3PZWOTIK6v8NmAjzN-lKGnN4M_0nY6bw2VdjcD0uL5gnx_M9Edz1DBGr4doQ0WYfHJtLJk6REOAvkY78swsysynPS/42q/5ebzjuGYTpeLqWW_4G4DIQ/h13/c-4Z_1B-xXSRHkzFvTyXU8c7z9q6GvfHah6mW8KR2Nk" TargetMode="External"/><Relationship Id="rId121" Type="http://schemas.openxmlformats.org/officeDocument/2006/relationships/hyperlink" Target="https://link.mail.beehiiv.com/ss/c/i142ipyW89EI2-TL2DD4FCmQI5N0zU5Ck4au3PAkucnbg7PuHp7zo9_KWWRRyYNH98-IK7_y1klWPbikgIa-5AvrQRiQQnfFcjxQb4RVnYKy6MJaXaYEF_m5carxhaE7sSuyr8BPDjZzCur7LRtjbio7KrI2Yju1QJQToHrvUZrGbYeS7PNPzHcIW8NFCHKp/430/QYqyBXEUQLScFHRqIGvV6A/h12/q3SIgtNZ0owOU6F-Q_JDzbMkvTf7AQBRuklkBLO2LRo" TargetMode="External"/><Relationship Id="rId142" Type="http://schemas.openxmlformats.org/officeDocument/2006/relationships/hyperlink" Target="https://na01.safelinks.protection.outlook.com/?url=https%3A%2F%2Flink.mail.beehiiv.com%2Fss%2Fc%2FAFHHY18NT0_ddKuYrElMRtYmlG9MpYfViVkvPghxwQXRVSXA0QX5uBzSuQOPqSSOzFUAqc4w2z2bDHez1G34pUsU4WHgw_xij8P60JQibbVmgHiye10WGhR3J7EqfMO2f2AANhf_McqlFKB5Tr-ECgSBw4sP580vF94u_nB0inz_Ltl1ih00DdNOqyGSU7Dr%2F43b%2Fg-mITXHHSLuvA4Zs9JyXYQ%2Fh11%2FODVGz3KvTeXI4xLGBRpwcneFjIB_kB9LdW5La6y_efY&amp;data=05%7C02%7C%7C45409b8562984e3a1b0308dc1e918710%7C84df9e7fe9f640afb435aaaaaaaaaaaa%7C1%7C0%7C638418857628349429%7CUnknown%7CTWFpbGZsb3d8eyJWIjoiMC4wLjAwMDAiLCJQIjoiV2luMzIiLCJBTiI6Ik1haWwiLCJXVCI6Mn0%3D%7C3000%7C%7C%7C&amp;sdata=cd7IhhQuw7AtKrWuBkDPyu1VqNvC%2FRsYxY3tp1e6%2B0U%3D&amp;reserved=0" TargetMode="External"/><Relationship Id="rId163" Type="http://schemas.openxmlformats.org/officeDocument/2006/relationships/hyperlink" Target="https://na01.safelinks.protection.outlook.com/?url=https%3A%2F%2Flink.mail.beehiiv.com%2Fss%2Fc%2FAFHHY18NT0_ddKuYrElMRoxiDvYIlzJcN1PVG1ViZv7J8SpWwXQMYO5Vdy71lnC5YooBtr_PmAJtUjL2FNq5zR9Br0O14XJsxS79EkKs7P55clfzJcVV_cyGPCpQIsnGUcSG_RmKzbrAHXdahg0XWCqLiTVBQEzXJ6V0GLTdiiTydcXpkIgCONPKcHuhla-IIuWRhQbV9NhmmywDCz3uSQ%2F43m%2FvFXgn5S6T7Sw99TphhHG7Q%2Fh6%2FL9mGgmjY_8oud8JJdW9hbNQYfjIR7VjKMLk_EUuI7rg&amp;data=05%7C02%7C%7C2468f54dedf74fd6b8bf08dc271ca354%7C84df9e7fe9f640afb435aaaaaaaaaaaa%7C1%7C0%7C638428251196475254%7CUnknown%7CTWFpbGZsb3d8eyJWIjoiMC4wLjAwMDAiLCJQIjoiV2luMzIiLCJBTiI6Ik1haWwiLCJXVCI6Mn0%3D%7C0%7C%7C%7C&amp;sdata=CtkliPWeuIoC1ev1BK%2BX4CAx50JdCnGz3FIVquFM5tA%3D&amp;reserved=0" TargetMode="External"/><Relationship Id="rId184" Type="http://schemas.openxmlformats.org/officeDocument/2006/relationships/hyperlink" Target="https://upsolve.ai/" TargetMode="External"/><Relationship Id="rId219" Type="http://schemas.openxmlformats.org/officeDocument/2006/relationships/hyperlink" Target="https://link.mail.beehiiv.com/ss/c/AFHHY18NT0_ddKuYrElMRsJtcG6vthVUvFbFXYJPl4kp85HW4hQLhA4569VE9HU9u3dEVGds818dK607x2sD0h1pLn_hq_6JoXgTyW6qDJbIep853v_tJ1NqUya_IQXDrnnxIaPtteDcAOBdl7_vIwD1RY1icksV6bb0zGcYLCZfPGKmane6EYEpsKE70MXx/42n/9aXz3kL9RF6U874vSWwJ_w/h15/wD74MHCN-NCjLGhepntWWaPFi8Wj9WXyDStm8xXHEoI" TargetMode="External"/><Relationship Id="rId230" Type="http://schemas.openxmlformats.org/officeDocument/2006/relationships/hyperlink" Target="https://link.mail.beehiiv.com/ss/c/2AzrNw8_0McR5ZHRioFSTtKIpjrFScq6eD5XHWikGfQj4AL1se-DNDaJovAkGIR1-JfAkPk9bJB2siNoNm7wjTa_SG93EpR0EIvnk2OcTafMmH5WSTwgMbuYJKJbY-ulVoxFaHiKyj57xLudhLdlBN_PjZ8qiGCdQhZMpONNZfjNK1k9snoeBAGDAzlpRhD4/42u/7ijIU-6iRHWmiXPyYZP5TQ/h14/0kkRoOPQApn6XQuy-JwvFh4ukua6gzeTPR7_CJASwtk" TargetMode="External"/><Relationship Id="rId251" Type="http://schemas.openxmlformats.org/officeDocument/2006/relationships/hyperlink" Target="https://na01.safelinks.protection.outlook.com/?url=https%3A%2F%2Flink.mail.beehiiv.com%2Fss%2Fc%2F8iXKAwwMM1W-cI7L7LOvGm86cAYCrhM4Em6VgOvqfCh9B9mK_JMcq109RTpMSu1J8bAmWcdCDGt8Q_Suhu5iUTT1dyu1XqjBQgP6zdY2BbPvmeOAl8D4BmPuX0sTevuzNQILrthXJOeZZRzrp46RpJwE9yOnzv0lSOQGP-iuphBQQvrq82fe8GZEVrj3tcMQwIL9ZO9ahmkhBKUBbc_tOg%2F43g%2FQcjk83mMQvO9rrwO7Q77Sg%2Fh8%2FRdmfGzIiEslUMYsqQxGREOJBXklCMlb2gVLoqS2o5lc&amp;data=05%7C02%7C%7C10d9f89712e243b44f0908dc2283399d%7C84df9e7fe9f640afb435aaaaaaaaaaaa%7C1%7C0%7C638423194224369764%7CUnknown%7CTWFpbGZsb3d8eyJWIjoiMC4wLjAwMDAiLCJQIjoiV2luMzIiLCJBTiI6Ik1haWwiLCJXVCI6Mn0%3D%7C0%7C%7C%7C&amp;sdata=NfUzaJdwGXaGb%2BZ7VWCUyM5tODVRwJPTprEuwBvq7aA%3D&amp;reserved=0" TargetMode="External"/><Relationship Id="rId25" Type="http://schemas.openxmlformats.org/officeDocument/2006/relationships/hyperlink" Target="https://amie.so/" TargetMode="External"/><Relationship Id="rId46" Type="http://schemas.openxmlformats.org/officeDocument/2006/relationships/hyperlink" Target="https://www.read.ai/" TargetMode="External"/><Relationship Id="rId67" Type="http://schemas.openxmlformats.org/officeDocument/2006/relationships/hyperlink" Target="https://na01.safelinks.protection.outlook.com/?url=https%3A%2F%2Flink.mail.beehiiv.com%2Fss%2Fc%2FYHTaa2XonDw2f6U1lKEHzcbPtVxLLK3P23Ej8ZqWRPrgGkhbSjYCUfXcttkBTjbHRLHQO9S4QG0243N4WGxNd-1-2ahpAFlgDFyUDoUQBu479ZpKZgvlAwIldjvxSEq55qa-mNVXNl2znlx5kvsaHg-2ez6rmUrzB2miO0AMGRADltJmf2pilRN1kU7KrCXw%2F429%2Fh2pqv3d1RQ67Bfh-NIiP1A%2Fh19%2FikbS-MNAs8-araeY7iouikyyix39objHvKooRm_y9xQ&amp;data=05%7C02%7C%7C217feb6faf81474831eb08dc00b512fe%7C84df9e7fe9f640afb435aaaaaaaaaaaa%7C1%7C0%7C638386025021594445%7CUnknown%7CTWFpbGZsb3d8eyJWIjoiMC4wLjAwMDAiLCJQIjoiV2luMzIiLCJBTiI6Ik1haWwiLCJXVCI6Mn0%3D%7C3000%7C%7C%7C&amp;sdata=%2F8u5PGv0h4duMeTBBHBfwanUDnB9WoOU8KICXWc0WCs%3D&amp;reserved=0" TargetMode="External"/><Relationship Id="rId272" Type="http://schemas.openxmlformats.org/officeDocument/2006/relationships/hyperlink" Target="https://sana.ai/" TargetMode="External"/><Relationship Id="rId88" Type="http://schemas.openxmlformats.org/officeDocument/2006/relationships/hyperlink" Target="https://link.mail.beehiiv.com/ss/c/AFHHY18NT0_ddKuYrElMRvK8CCJYonBYZY-oLgHs1MEe5ClFDId2JlzXwRZ_7eLp3GnKlFs-DiY20Kx0dEl8qAZeD3kqRUhuP5TzjY_-9FChN629X6_RQ6ZQ8txQ36dFQLYiY5IcXa9__0mWRI3gnz3AloTrCpscLwCDx3iY4MU/42n/9aXz3kL9RF6U874vSWwJ_w/h14/NSSK_g4JOnEpXi8atu3TRCd40mHB2VoHA-HSOi2n3bM" TargetMode="External"/><Relationship Id="rId111" Type="http://schemas.openxmlformats.org/officeDocument/2006/relationships/hyperlink" Target="https://link.mail.beehiiv.com/ss/c/POWe797IScGqQ9xtiHvVyO585NiYxbfLA9m-qVN9be4pfvn2Kur3Ix7bPAdM8ZwsYDZLZDSFCM1qVEjg_FQnBk9QXGViFNDLz0i7TteehGdnr0Rj1iskBqn430JWYVwBWcchEvOvR0SYb4XDluUR8XGMTHYp3WAqqzyyjLjKLVoZSdR_-Ewr4py9JyNjGGBD/42v/nZXr1tPySXKmM7_zwAN6Jw/h18/5RkMX49n_fSWbQ5xHZN2oeSdqvxpX656QGbjP5OeWdw" TargetMode="External"/><Relationship Id="rId132" Type="http://schemas.openxmlformats.org/officeDocument/2006/relationships/hyperlink" Target="https://equals.com/" TargetMode="External"/><Relationship Id="rId153" Type="http://schemas.openxmlformats.org/officeDocument/2006/relationships/hyperlink" Target="https://na01.safelinks.protection.outlook.com/?url=https%3A%2F%2Flink.mail.beehiiv.com%2Fss%2Fc%2FkTklpAxml3EW3RaiF8_gQpHGYbTDdrsdzDTusU2mfLfFQ7DU-i97HrGSG3OIK7UlY9HdP6CuZStIES_LnTLFq-3hyIK78LX9p_se9AflM11tYt4V2Z-dh-Xk_QtjjPHbNdZqxdhj5Ev4O54TIe5ljNTkTzHg88n7BbXCXXfxFcDb-aLiTDkcSYf1kbcaehkjeONSyzFOWz7EpMKZJI90-mxM0aaE0oGBI_OMR0gZt9PAxc7j6qJMSJ6Jm_GAbxrG%2F43h%2F7OxjGHLcTgywXbs0oXNXLQ%2Fh8%2FVJhI75ugCFC_RclJ7Zcx84QFlmjsh_QRq7KX1-d-t00&amp;data=05%7C02%7C%7C92b5a0b457a44f6603dd08dc23488154%7C84df9e7fe9f640afb435aaaaaaaaaaaa%7C1%7C0%7C638424041549939165%7CUnknown%7CTWFpbGZsb3d8eyJWIjoiMC4wLjAwMDAiLCJQIjoiV2luMzIiLCJBTiI6Ik1haWwiLCJXVCI6Mn0%3D%7C0%7C%7C%7C&amp;sdata=WJWt7lCpqnrTPfPJdOxrxwjGnQ0XP1IGbNP0qxKIiRM%3D&amp;reserved=0" TargetMode="External"/><Relationship Id="rId174" Type="http://schemas.openxmlformats.org/officeDocument/2006/relationships/hyperlink" Target="https://www.withblaze.app/" TargetMode="External"/><Relationship Id="rId195" Type="http://schemas.openxmlformats.org/officeDocument/2006/relationships/hyperlink" Target="https://www.movingto.io/" TargetMode="External"/><Relationship Id="rId209" Type="http://schemas.openxmlformats.org/officeDocument/2006/relationships/hyperlink" Target="https://na01.safelinks.protection.outlook.com/?url=https%3A%2F%2Flink.mail.beehiiv.com%2Fss%2Fc%2FAFHHY18NT0_ddKuYrElMRonZvaoYnx9aa-aqnTBBLfZRu-NnTS7gZ9v4zl_5bhBZwAncdeTJjXEFxpYDzoFxKZN3ADyUSlgNhnBAQN5TRfson_ciMNOJvyPG-509kon0DZCQHN6KYQo5s_ZTlziIihFsyBW3fHD-RfS5i3DgUOYxqwPPRZnt4Hg3ObCW710vF-cukn2-5dB8BPaY8NUa2Hk_HTKjXT475X4fX6s8Zok%2F42a%2FDUYKkIPEQImOg2lwGf1dYQ%2Fh21%2Fs21YA6otaraXkvsDHUSyqgHGpjT-noRczUOG9GDcGXw&amp;data=05%7C02%7C%7Cc07a9ba8d37e44a91f2f08dc017e4279%7C84df9e7fe9f640afb435aaaaaaaaaaaa%7C1%7C0%7C638386889054421601%7CUnknown%7CTWFpbGZsb3d8eyJWIjoiMC4wLjAwMDAiLCJQIjoiV2luMzIiLCJBTiI6Ik1haWwiLCJXVCI6Mn0%3D%7C3000%7C%7C%7C&amp;sdata=y%2ByRXTxMHrDsADqYYgfAH%2BF4qCE%2Bf3Jfm4mX1bGhIPM%3D&amp;reserved=0" TargetMode="External"/><Relationship Id="rId220" Type="http://schemas.openxmlformats.org/officeDocument/2006/relationships/hyperlink" Target="https://link.mail.beehiiv.com/ss/c/AFHHY18NT0_ddKuYrElMRvK8CCJYonBYZY-oLgHs1MEe5ClFDId2JlzXwRZ_7eLp3GnKlFs-DiY20Kx0dEl8qAZeD3kqRUhuP5TzjY_-9FChN629X6_RQ6ZQ8txQ36dFQLYiY5IcXa9__0mWRI3gnz3AloTrCpscLwCDx3iY4MU/42n/9aXz3kL9RF6U874vSWwJ_w/h14/NSSK_g4JOnEpXi8atu3TRCd40mHB2VoHA-HSOi2n3bM" TargetMode="External"/><Relationship Id="rId241" Type="http://schemas.openxmlformats.org/officeDocument/2006/relationships/hyperlink" Target="https://link.mail.beehiiv.com/ss/c/AFHHY18NT0_ddKuYrElMRu8LnxRRd89gW_0tZvKYC7BAxAo0dcm3wSO1GPIWCxQFM1R37BIrXVkmoTm9xyj5qa2eLbsVUPcHSzWofgdn_i1ylMj-lGwgRUf-VeT25wyVO1LLKzfAkWQ9NPjfmeYC_ytgJxw1-CTgb7VFTRIi5xOS11H8OckRCpQNBgfcAzz6ZylWEz3BDBHHU8iLerGctA/433/7TY_PSLvRgWzYPJETFX2uA/h11/c4T6w1IrJkFd00bQK_Ndcxu71DFthJOQe3ofd6-JBj8" TargetMode="External"/><Relationship Id="rId15" Type="http://schemas.openxmlformats.org/officeDocument/2006/relationships/hyperlink" Target="https://h2o.ai/" TargetMode="External"/><Relationship Id="rId36" Type="http://schemas.openxmlformats.org/officeDocument/2006/relationships/hyperlink" Target="https://happenstance.ai/" TargetMode="External"/><Relationship Id="rId57" Type="http://schemas.openxmlformats.org/officeDocument/2006/relationships/hyperlink" Target="https://na01.safelinks.protection.outlook.com/?url=https%3A%2F%2Flink.mail.beehiiv.com%2Fss%2Fc%2FAFHHY18NT0_ddKuYrElMRsq1BiRCgPWWfbhSm6kOK2LBR8UpyAWneQWDq_vwctjkURXZUg_Vehqp6K57yIQzle76f0eOp8lbUM42ZJhAiLXBgkgaCwOrXCA2cacLfNawR9q9_7ULhJ57zoLBNaEmUKCbBvSF7RJjrIkclQU1FWIomjcoB9gzTEdCjqgdFFLh%2F424%2FBVkUGzYrTG-kh98VJPJSTw%2Fh19%2FB9cg3maJvVxbiPAlvXNv7pluZUnOpzDqLqDKmiwr1uc&amp;data=05%7C02%7C%7Cfd3a0e0a2d644921ca6c08dbfcc76b46%7C84df9e7fe9f640afb435aaaaaaaaaaaa%7C1%7C0%7C638381705721564271%7CUnknown%7CTWFpbGZsb3d8eyJWIjoiMC4wLjAwMDAiLCJQIjoiV2luMzIiLCJBTiI6Ik1haWwiLCJXVCI6Mn0%3D%7C3000%7C%7C%7C&amp;sdata=DB6ldcBbGY5%2F37YN12M8o22VrFROaNGTPr%2BU4wicL8U%3D&amp;reserved=0" TargetMode="External"/><Relationship Id="rId262" Type="http://schemas.openxmlformats.org/officeDocument/2006/relationships/hyperlink" Target="https://elyos.ai/" TargetMode="External"/><Relationship Id="rId283" Type="http://schemas.openxmlformats.org/officeDocument/2006/relationships/hyperlink" Target="https://tray.ai/" TargetMode="External"/><Relationship Id="rId78" Type="http://schemas.openxmlformats.org/officeDocument/2006/relationships/hyperlink" Target="https://link.mail.beehiiv.com/ss/c/kTklpAxml3EW3RaiF8_gQo1traclj0rerTN1GGQgHToh6onQWkfDzAfbLpvApOP4G-JxFSzSSY66hBJ5VmMf3LbQ_HrSnnaCy9kiaODN4HcDlD-UzAyyv_EkuYM3VHD35ZBvywlDeYrkhHfKfZ9swyFotfIYJB_rpeivsOknFqvRgrXfDsZVxulqVAKqYd11Hn0SjN30WceLs66-r-PNmfihjMUEu74aRvArxBtjyf_ckPWyc84jg28c5OS5ndah/42i/j5yR117ZR1WBEiOGjECApA/h13/2Ljyv2BXV_sr-oN-ZljbTikyBemBxLobI7QWGn1lD-c" TargetMode="External"/><Relationship Id="rId99" Type="http://schemas.openxmlformats.org/officeDocument/2006/relationships/hyperlink" Target="https://link.mail.beehiiv.com/ss/c/AFHHY18NT0_ddKuYrElMRkVkaWK8kop9IhHkFiZuKAHlZjuWcR3H-xnnRNBkX8Hzpk-SVj6uZUR2c8UvdcOaP6_1WT8I4MLzy-eo3Ij-Qg6q9FIQihBlhfCdpQdAzcs1Jvfbuh9t2pNDsq_9JLNdP-CHHD1I1f-woD1FgC3Phn3dBa21vJxGaXGNHdgnFVCo/42q/5ebzjuGYTpeLqWW_4G4DIQ/h12/IktG-IQwnYDDK-3suR47D4Vn7rd9i62WnJHtqGTEsZI" TargetMode="External"/><Relationship Id="rId101" Type="http://schemas.openxmlformats.org/officeDocument/2006/relationships/hyperlink" Target="https://link.mail.beehiiv.com/ss/c/AFHHY18NT0_ddKuYrElMRljWzugkc4Mru0GahDYjlHMgX_say1nI_ofnjPycybljbZP9HNZy-mP281juFfFJD0Jynk7cEg0HlyLtaxR0na9yh-Gi14Z_4Ck-EqgvkqwcYInZbm_UGe0ZFufoak0dMrufnkXeoUAjgK9UsO0LtrLZEiPDVn_zJ_r8UmpwvNis/42q/5ebzjuGYTpeLqWW_4G4DIQ/h10/G6uPneSQQSnzJp7Blez_-SwsVN61uxNF7yMBTpaoLJg" TargetMode="External"/><Relationship Id="rId122" Type="http://schemas.openxmlformats.org/officeDocument/2006/relationships/hyperlink" Target="https://link.mail.beehiiv.com/ss/c/-72w8iesgkP33vyeWj1Mx1PMDtLo2mPZpfPdCkIzcMLFzMqaKpJdKX1Jr_CejCIbe5KXI7xwSdo1MkqLIskeiTfE-Zxm1gLpUFna5VGjyCW1U9eqWecXDm6a1PiZqZ1AKiugTjhR7k3pQbaQrYQ-GXlizxNkL9xsX7pFZWIemJABDLjeyCuzHK62Zhmj-oHo/430/QYqyBXEUQLScFHRqIGvV6A/h11/Av8tlREodwVNYUfaznu16fKqBrfL4Jx0ZqXWaYuvLNM" TargetMode="External"/><Relationship Id="rId143" Type="http://schemas.openxmlformats.org/officeDocument/2006/relationships/hyperlink" Target="https://na01.safelinks.protection.outlook.com/?url=https%3A%2F%2Flink.mail.beehiiv.com%2Fss%2Fc%2FYHTaa2XonDw2f6U1lKEHzWL0OSUA5RTRpTgL6uDEMDIeZ-XXrsCw7NGQRuQcOHptY1J03V6qD_bB2QP7XZJ2WHTB_ieAjWfOvJLEYvIZJ_ZPoipBk3HFBj2lgqw4NY9VcZq53gtNVdITfh8oVsqc2rw_cvE7ZRVLxHk9ia6f5hCmWDrescMVvzRxzcrEiXBj%2F43b%2Fg-mITXHHSLuvA4Zs9JyXYQ%2Fh7%2F5ub0IZ3TER-knayTdeYbwDqBngnYba74ETtz91J1jWI&amp;data=05%7C02%7C%7C45409b8562984e3a1b0308dc1e918710%7C84df9e7fe9f640afb435aaaaaaaaaaaa%7C1%7C0%7C638418857628316260%7CUnknown%7CTWFpbGZsb3d8eyJWIjoiMC4wLjAwMDAiLCJQIjoiV2luMzIiLCJBTiI6Ik1haWwiLCJXVCI6Mn0%3D%7C3000%7C%7C%7C&amp;sdata=jOQEBW6mQvk9AE8kRbDD99MZZE8hOPohUbc%2B5FkKGIA%3D&amp;reserved=0" TargetMode="External"/><Relationship Id="rId164" Type="http://schemas.openxmlformats.org/officeDocument/2006/relationships/hyperlink" Target="https://na01.safelinks.protection.outlook.com/?url=https%3A%2F%2Flink.mail.beehiiv.com%2Fss%2Fc%2FkTklpAxml3EW3RaiF8_gQhWnk0BHfqh1nM6V8_vN_DeDzPFibHYgxrGx9-zU0uK_mARTYT8CCIrFVkxJoegXiHj3Bga0g1pIw919AeRdwDrPUiDo8Zzr0LHjRUxLaDeD_RJFewwtAC-Q_y0SMMI2oFCfcere-3HjK7Z8R-PgftVZhqPafbijiLk21KSHkPyOKbLfhJsF3BzzUUm6vJ4n1Q%2F43n%2FiO-pL6SiSOqAXUwE07J6jg%2Fh11%2FxH5ZF6PgNQCmdHDrH7b-m3jUjDLwS--f1vRjrYkLWrw&amp;data=05%7C02%7C%7Ccf9a69073011423d7bb908dc280386ca%7C84df9e7fe9f640afb435aaaaaaaaaaaa%7C1%7C0%7C638429242852225722%7CUnknown%7CTWFpbGZsb3d8eyJWIjoiMC4wLjAwMDAiLCJQIjoiV2luMzIiLCJBTiI6Ik1haWwiLCJXVCI6Mn0%3D%7C0%7C%7C%7C&amp;sdata=8KhRUDgffaFpVKJAzqJfyzMd6AyP%2B3Vw8OY079uKMvE%3D&amp;reserved=0" TargetMode="External"/><Relationship Id="rId185" Type="http://schemas.openxmlformats.org/officeDocument/2006/relationships/hyperlink" Target="https://reliv.ai/" TargetMode="External"/><Relationship Id="rId9" Type="http://schemas.openxmlformats.org/officeDocument/2006/relationships/hyperlink" Target="https://link.mail.beehiiv.com/ss/c/u001.QR8PDET7GVRZS9oWC_jpgAQzYdW7YqGlLeGbGKjyFbBCJn9zofiFltaSoxSfLbMxjPXXYquPo4xGly8qBzufQCQHDnkc7MM_5ypicIGHSS9czrGvW53FmkrsvTKjVSE17UpABsTASEPMFpTqZNOUiMVmUKpN4fCsdbWR1pM0d-cQQXB952HrrtH70E-VvPHAPgQQXL759KwwMg9n-tcD-CB6wkDXjrQS7AKBe93YaBk/4al/g7zsjTnRSyu0lDfog4_2Ow/h18/h001.68rs5Lln9z1cUeNLBK7qbGRtkxRRyxuTc5VyxVfP-rI" TargetMode="External"/><Relationship Id="rId210" Type="http://schemas.openxmlformats.org/officeDocument/2006/relationships/hyperlink" Target="https://na01.safelinks.protection.outlook.com/?url=https%3A%2F%2Flink.mail.beehiiv.com%2Fss%2Fc%2Fz0X5DY489zjmVLlFQopoHRCHH3wh5jmHDuaoN_N0ZmGDnsv46CP4PfEx0nBmbSB7VJycF2PppscZSEfzPYecgZVMrwWnXsVGrcWhcBgG7MzH7KMhKjgKRRcUqcc9JAVreLbT1iQuM-IUu17u8RwxE7RuqzGPMbIhUuh_k2Uyp5-52s3aU08kueTPito064FT5YCmBZyoFH1e_t0k8ly4jw%2F42a%2FDUYKkIPEQImOg2lwGf1dYQ%2Fh18%2FKURJNxPzdZRbF1wBHqsPfKjcAoaya-uXT5oz2jykr_M&amp;data=05%7C02%7C%7Cc07a9ba8d37e44a91f2f08dc017e4279%7C84df9e7fe9f640afb435aaaaaaaaaaaa%7C1%7C0%7C638386889054265389%7CUnknown%7CTWFpbGZsb3d8eyJWIjoiMC4wLjAwMDAiLCJQIjoiV2luMzIiLCJBTiI6Ik1haWwiLCJXVCI6Mn0%3D%7C3000%7C%7C%7C&amp;sdata=nO2XD6jtBnvJ2m0nRJ78KtusNtzZ0bm7UKI6c%2Fpxnos%3D&amp;reserved=0" TargetMode="External"/><Relationship Id="rId26" Type="http://schemas.openxmlformats.org/officeDocument/2006/relationships/hyperlink" Target="https://proton.me/" TargetMode="External"/><Relationship Id="rId231" Type="http://schemas.openxmlformats.org/officeDocument/2006/relationships/hyperlink" Target="https://link.mail.beehiiv.com/ss/c/oPK9TvOEo1ZeXdOJwVOhadJZ6-Ayj_6uEwA9O2VUieUL-ICKR8RnZcPsmXUhYRISxCGkMpSieDLrG8zstWkQGblUfHaPYCT6z0a5TRxl893aJY6wuEBfsVROzWS9hielorJBcYVI7BrNyH430XJJ5Rqch-5DLf7SJN6tK3JiA7v8t7_QRK7E_llLDJ_JsMsW/42u/7ijIU-6iRHWmiXPyYZP5TQ/h10/jxvUTZqT10kSeSW8nrPIdCtsV3CFgadAa8XMX2hK0O8" TargetMode="External"/><Relationship Id="rId252" Type="http://schemas.openxmlformats.org/officeDocument/2006/relationships/hyperlink" Target="https://na01.safelinks.protection.outlook.com/?url=https%3A%2F%2Flink.mail.beehiiv.com%2Fss%2Fc%2FkTklpAxml3EW3RaiF8_gQpHGYbTDdrsdzDTusU2mfLfFQ7DU-i97HrGSG3OIK7UlY9HdP6CuZStIES_LnTLFq-3hyIK78LX9p_se9AflM11tYt4V2Z-dh-Xk_QtjjPHbNdZqxdhj5Ev4O54TIe5ljNTkTzHg88n7BbXCXXfxFcDb-aLiTDkcSYf1kbcaehkjeONSyzFOWz7EpMKZJI90-mxM0aaE0oGBI_OMR0gZt9PAxc7j6qJMSJ6Jm_GAbxrG%2F43h%2F7OxjGHLcTgywXbs0oXNXLQ%2Fh8%2FVJhI75ugCFC_RclJ7Zcx84QFlmjsh_QRq7KX1-d-t00&amp;data=05%7C02%7C%7C92b5a0b457a44f6603dd08dc23488154%7C84df9e7fe9f640afb435aaaaaaaaaaaa%7C1%7C0%7C638424041549939165%7CUnknown%7CTWFpbGZsb3d8eyJWIjoiMC4wLjAwMDAiLCJQIjoiV2luMzIiLCJBTiI6Ik1haWwiLCJXVCI6Mn0%3D%7C0%7C%7C%7C&amp;sdata=WJWt7lCpqnrTPfPJdOxrxwjGnQ0XP1IGbNP0qxKIiRM%3D&amp;reserved=0" TargetMode="External"/><Relationship Id="rId273" Type="http://schemas.openxmlformats.org/officeDocument/2006/relationships/hyperlink" Target="https://www.lindy.ai/" TargetMode="External"/><Relationship Id="rId47" Type="http://schemas.openxmlformats.org/officeDocument/2006/relationships/hyperlink" Target="https://www.timeos.ai/" TargetMode="External"/><Relationship Id="rId68" Type="http://schemas.openxmlformats.org/officeDocument/2006/relationships/hyperlink" Target="https://na01.safelinks.protection.outlook.com/?url=https%3A%2F%2Flink.mail.beehiiv.com%2Fss%2Fc%2FAFHHY18NT0_ddKuYrElMRo4ER7E6tGGkYv9qwEM3U4YSkHG76--1KxcErT6osjj-0c_DgyJPQZnc1riLZ9IPxODnkGkTSp7kXLBBZ4lLIUhDE4iYuBKWueDJNz1EWLNylkCYmEUz1IM8UgtvlpweS3T9i6_p442sw4mXoVL-fi_-towuiW7DUVv4v787hs73K418UHrZ1SvXydwaZDWItA%2F42a%2FDUYKkIPEQImOg2lwGf1dYQ%2Fh22%2FnL8E-03JCbE5wTnqANrFnAKwRFGdGE7jRdYw9y9Ep2U&amp;data=05%7C02%7C%7Cc07a9ba8d37e44a91f2f08dc017e4279%7C84df9e7fe9f640afb435aaaaaaaaaaaa%7C1%7C0%7C638386889054421601%7CUnknown%7CTWFpbGZsb3d8eyJWIjoiMC4wLjAwMDAiLCJQIjoiV2luMzIiLCJBTiI6Ik1haWwiLCJXVCI6Mn0%3D%7C3000%7C%7C%7C&amp;sdata=bPwdGUnz7nWbZm6fQ84CqcfctrJugUQaDcEzCGjUcyE%3D&amp;reserved=0" TargetMode="External"/><Relationship Id="rId89" Type="http://schemas.openxmlformats.org/officeDocument/2006/relationships/hyperlink" Target="https://link.mail.beehiiv.com/ss/c/8Y-VoJkoDnX1zI1WLAgXF_8zC2MmrTig-kV7cG2eDmlHf2ESG5yZS6uTSHOoW_ZSOtyFCC0Y41NtQ1W_1b8i-KdF3DfnJeGaomB9dXKSAFx9eu79UxOo9dyZVXkGDta3G-JXydtxxxDoEguKPpSMnQM5vWI6SavwX5IVN9d16wJ8hpLcRjWnDGoWA5RuT6UTds4JVrDkpLELt0nL3HIu8PULvguoEYtCSKulyYsPs08/42o/Cyadq-2ySeygr9jbdj1HBA/h24/K7ZOVtjSUId8LxC2ry4oQVx6G4mbg1_NyXb60SUTTqg" TargetMode="External"/><Relationship Id="rId112" Type="http://schemas.openxmlformats.org/officeDocument/2006/relationships/hyperlink" Target="https://link.mail.beehiiv.com/ss/c/UuCNtwnEAMcjpu9jaML3rCvwUcb8aupWwaTBzGDnq--G78JEI1RNobltDazGjw0vasmTqx7iEch0GDc9RCRK6Q0wTLlp9ZfDvB3ODGYrrZy11nLu0mnaOy05U7ZSRmxS_jdyZUZkRhvUcmfiqNqnqLSPdasehpo0-aKF8KZFQns/42v/nZXr1tPySXKmM7_zwAN6Jw/h17/G3B1LH36jolDaNt56GeZzL_kae_mxzqkfb3O1QJWo4A" TargetMode="External"/><Relationship Id="rId133" Type="http://schemas.openxmlformats.org/officeDocument/2006/relationships/hyperlink" Target="https://na01.safelinks.protection.outlook.com/?url=https%3A%2F%2Flink.mail.beehiiv.com%2Fss%2Fc%2FAFHHY18NT0_ddKuYrElMRrdujJlgWmkKYuhX1rKir5UPM7ihGJiZpSkVptoSsJrjFiR423GR9CtQiXcZBxdY6sxGZV2mgN1LOOrX-XY0zBr3Dk14rKrJQQB35HkpwCU_RJZ_RPcBAeU8SMWUdzJ0TP7ukdFoFnzq4J8A3tfzLC3hyzbwYQUB7rOCCWPVyv6iS4oQqvCFZOrl0C4_XC9kqQ0-wYUwJOjZJlKcLFJG2GE%2F438%2FZBlGr5r-QrKKyDaAJsM9-w%2Fh11%2F0Nmo1DCeHaC1JbFTjUrUMEAv9YBuprCtR9Vs_QvJotM&amp;data=05%7C02%7C%7C77deb5ee2ccf4c319ccd08dc1c35f0ad%7C84df9e7fe9f640afb435aaaaaaaaaaaa%7C1%7C0%7C638416265236739981%7CUnknown%7CTWFpbGZsb3d8eyJWIjoiMC4wLjAwMDAiLCJQIjoiV2luMzIiLCJBTiI6Ik1haWwiLCJXVCI6Mn0%3D%7C3000%7C%7C%7C&amp;sdata=KroEzFgQECyxzqX%2FGaG87%2BYrpuqXpX78bwNyTR2%2BKMQ%3D&amp;reserved=0" TargetMode="External"/><Relationship Id="rId154" Type="http://schemas.openxmlformats.org/officeDocument/2006/relationships/hyperlink" Target="https://na01.safelinks.protection.outlook.com/?url=https%3A%2F%2Flink.mail.beehiiv.com%2Fss%2Fc%2FyAczCiX-iyAkwj0X9QHq0rRIoFogGyOiDxZc05J1JJDgOMvjAKl6W_hcpUM9ZWDL1GDFetsxEo9PRBAMJ_5tzWZxxeKX4rZ5BAHD5eRpLjJ2Ji25l-S8OMV3p2dRPEaZ3fVwUcAPmp-2McgFUTKTnbjnWjouzAe4_e3WjS_ZjBJSdvz7uL167rKH0pqn8_4wV9_aYJciApdItaOXI8UhNqU7glCZZ5RF-KImQmKfQLPcGgiFBbWzQNEKZ_mg7jdb%2F43h%2F7OxjGHLcTgywXbs0oXNXLQ%2Fh6%2FG3lOq3XPvzkgPOp8RDcvMRFo_hK1I6qnep6S8weU2QU&amp;data=05%7C02%7C%7C92b5a0b457a44f6603dd08dc23488154%7C84df9e7fe9f640afb435aaaaaaaaaaaa%7C1%7C0%7C638424041549909518%7CUnknown%7CTWFpbGZsb3d8eyJWIjoiMC4wLjAwMDAiLCJQIjoiV2luMzIiLCJBTiI6Ik1haWwiLCJXVCI6Mn0%3D%7C0%7C%7C%7C&amp;sdata=7j2ZPdHyYJG7MY6Iuxdysr%2FRxHJDv6BP4PHryR7zW%2FM%3D&amp;reserved=0" TargetMode="External"/><Relationship Id="rId175" Type="http://schemas.openxmlformats.org/officeDocument/2006/relationships/hyperlink" Target="https://socialblaze.ai/" TargetMode="External"/><Relationship Id="rId196" Type="http://schemas.openxmlformats.org/officeDocument/2006/relationships/hyperlink" Target="https://www.apollo.io/" TargetMode="External"/><Relationship Id="rId200" Type="http://schemas.openxmlformats.org/officeDocument/2006/relationships/hyperlink" Target="https://mitenmit.github.io/gpt/?utm_source=www.superhuman.ai&amp;utm_medium=newsletter&amp;utm_campaign=openai-and-meta-announce-efforts-to-fight-ai-generated-deepfakes" TargetMode="External"/><Relationship Id="rId16" Type="http://schemas.openxmlformats.org/officeDocument/2006/relationships/hyperlink" Target="https://build.nvidia.com/" TargetMode="External"/><Relationship Id="rId221" Type="http://schemas.openxmlformats.org/officeDocument/2006/relationships/hyperlink" Target="https://link.mail.beehiiv.com/ss/c/z0X5DY489zjmVLlFQopoHSk8p9OUneEIE4JABp4j8kifdHQuMwaSJir984pJLsOtQNJgSPMNCNkc53r3hIlu5l_O9anCtJzX0Q3WplekcnsBbggT-RiFTfVf2gXW-l4Y59ie-80JqXIF5fr75u-TwGIRQdaOh_T1zFwBrB6R0-kEZttKFANJJ60GfxaszVUBLPNHQ7ciTIGAwoo5Oa4K7w/42o/Cyadq-2ySeygr9jbdj1HBA/h23/R5KAQH_jxGh3mdZaYEPzaachmK7V7fwXozBEdLqorG4" TargetMode="External"/><Relationship Id="rId242" Type="http://schemas.openxmlformats.org/officeDocument/2006/relationships/hyperlink" Target="https://link.mail.beehiiv.com/ss/c/AFHHY18NT0_ddKuYrElMRrDCWAOBcwxjJ9SA7fcM3CdM3MexOWmxfxPUjFYAP-uV3EU22VC7Dovrcsk6W4XvT1ob_4P8Y_DDMWIMsCdkfNoDnsT85o4RsixEqbxoQg1kHvBxWMrG-yaGv8UxCWbn8NnnfhsQ5yY_K_IJIC6Ptp1SccnYRu2mnlHrPAuPUmXn4EEjMLhl_mfV5PtjhcJuVg/433/7TY_PSLvRgWzYPJETFX2uA/h10/8yHsqSuoiVGO_o36mVpdfle6X6IFt0u6CdZ2l1-IJ2c" TargetMode="External"/><Relationship Id="rId263" Type="http://schemas.openxmlformats.org/officeDocument/2006/relationships/hyperlink" Target="https://www.gohighlevel.com/" TargetMode="External"/><Relationship Id="rId284" Type="http://schemas.openxmlformats.org/officeDocument/2006/relationships/hyperlink" Target="https://www.vibecodeapp.com/" TargetMode="External"/><Relationship Id="rId37" Type="http://schemas.openxmlformats.org/officeDocument/2006/relationships/hyperlink" Target="https://www.clay.com/" TargetMode="External"/><Relationship Id="rId58" Type="http://schemas.openxmlformats.org/officeDocument/2006/relationships/hyperlink" Target="https://na01.safelinks.protection.outlook.com/?url=https%3A%2F%2Flink.mail.beehiiv.com%2Fss%2Fc%2FmRpFJppvZP-Kc2DMS078G-NhYi2ZT0Wn6zOJBpw2cOkiCm4U0Q_lsC4sTz08gR7juY0OHlZJ_v5wUTHVYGdegPwgUsfyuUQk_dAXA7matYIagYCrIQ1RtDnk1m8onP5MKTV7-l80UEjziPV7Ui17r9WJsHy9knDe-Z5gpgI8gt1CGFDc5SP7modjxcxEBvhm%2F424%2FBVkUGzYrTG-kh98VJPJSTw%2Fh16%2Fqj4yGKVsIXYeh8Rd5EzkQ7aIj3BUShY9yingbo6v2pA&amp;data=05%7C02%7C%7Cfd3a0e0a2d644921ca6c08dbfcc76b46%7C84df9e7fe9f640afb435aaaaaaaaaaaa%7C1%7C0%7C638381705721564271%7CUnknown%7CTWFpbGZsb3d8eyJWIjoiMC4wLjAwMDAiLCJQIjoiV2luMzIiLCJBTiI6Ik1haWwiLCJXVCI6Mn0%3D%7C3000%7C%7C%7C&amp;sdata=wRgOYG1sNRMQ%2F9CNOVpIoD%2Fpc5pK3NsShtRoTIReYwI%3D&amp;reserved=0" TargetMode="External"/><Relationship Id="rId79" Type="http://schemas.openxmlformats.org/officeDocument/2006/relationships/hyperlink" Target="https://www.tailwindapp.com/" TargetMode="External"/><Relationship Id="rId102" Type="http://schemas.openxmlformats.org/officeDocument/2006/relationships/hyperlink" Target="https://link.mail.beehiiv.com/ss/c/z0X5DY489zjmVLlFQopoHSK8BpMreXDqmrQEkYNeP0QCTh5dSy-AVN5mdIe7LEgisBITB0o7DlTlSb8cqFGEEkpen5BnnJR5hUISwvp0b3vhKPTiI5XY9PnJwVGWTDWQcmXR80fkMCKh1x83P6RHuyEcndTm_3JYWJYWCgFpo1k/42q/5ebzjuGYTpeLqWW_4G4DIQ/h9/VikmTc4CTO4Wi-W1QcoYd6aPkXBe6OWTdQS3bVsFTS0" TargetMode="External"/><Relationship Id="rId123" Type="http://schemas.openxmlformats.org/officeDocument/2006/relationships/hyperlink" Target="https://byrdhouseapp.com/" TargetMode="External"/><Relationship Id="rId144" Type="http://schemas.openxmlformats.org/officeDocument/2006/relationships/hyperlink" Target="https://na01.safelinks.protection.outlook.com/?url=https%3A%2F%2Flink.mail.beehiiv.com%2Fss%2Fc%2Fi2IHzAzoiY266rd2UY2dVFT5qcr5j_up73f0_J6jTHhVDfG-AscqPv1cmINzAdfZjgepnCkzVo0X7pXBNsuyyLrF0efp8eJhDUZ3eyzYLyl6sdo4x5k0uUResCfpsnxcTr-pxM0zC1P8k3JWthnGds3JEYuMgKnWlK4IduW-UQyvbxXWJUCM_dXVHP4gZxxi%2F43e%2FQIfQDPINSjmv2FtXeaijkg%2Fh8%2FVytmy9A9H7P92tQCOrndMgtiH5juXtagaHrN543TkaU&amp;data=05%7C02%7C%7Cbf82f73ec0fd4de2a8ad08dc20f45de3%7C84df9e7fe9f640afb435aaaaaaaaaaaa%7C1%7C0%7C638421481151386798%7CUnknown%7CTWFpbGZsb3d8eyJWIjoiMC4wLjAwMDAiLCJQIjoiV2luMzIiLCJBTiI6Ik1haWwiLCJXVCI6Mn0%3D%7C0%7C%7C%7C&amp;sdata=blSguwHnHrLx9mbpQSuA9m24WnUMAIc42u6X1p7d0PI%3D&amp;reserved=0" TargetMode="External"/><Relationship Id="rId90" Type="http://schemas.openxmlformats.org/officeDocument/2006/relationships/hyperlink" Target="https://link.mail.beehiiv.com/ss/c/z0X5DY489zjmVLlFQopoHSk8p9OUneEIE4JABp4j8kifdHQuMwaSJir984pJLsOtQNJgSPMNCNkc53r3hIlu5l_O9anCtJzX0Q3WplekcnsBbggT-RiFTfVf2gXW-l4Y59ie-80JqXIF5fr75u-TwGIRQdaOh_T1zFwBrB6R0-kEZttKFANJJ60GfxaszVUBLPNHQ7ciTIGAwoo5Oa4K7w/42o/Cyadq-2ySeygr9jbdj1HBA/h23/R5KAQH_jxGh3mdZaYEPzaachmK7V7fwXozBEdLqorG4" TargetMode="External"/><Relationship Id="rId165" Type="http://schemas.openxmlformats.org/officeDocument/2006/relationships/hyperlink" Target="https://na01.safelinks.protection.outlook.com/?url=https%3A%2F%2Flink.mail.beehiiv.com%2Fss%2Fc%2FAFHHY18NT0_ddKuYrElMRtF2wWuCzIUzeTYi1WziHqJF1R238DVdpw6KkF-4p6hHXqA8puGcTg5K0cNqjjJO-5g0iPpDcgt5OUOZSCXS_iP9ri1FyPmMZ4LJhgWFCXYg8khLUGwBImGOw5DZzx93hb3cx5Yqu81GH5WxhJMqzJJOPgVuuB61miPhr4ukCq3EDmzOBquh0k3q3gClfrhG1w%2F43n%2FiO-pL6SiSOqAXUwE07J6jg%2Fh10%2F8AzNtabPCdARQlHHADj_VnhJyiiE3org6FRHS6MKAr0&amp;data=05%7C02%7C%7Ccf9a69073011423d7bb908dc280386ca%7C84df9e7fe9f640afb435aaaaaaaaaaaa%7C1%7C0%7C638429242852214768%7CUnknown%7CTWFpbGZsb3d8eyJWIjoiMC4wLjAwMDAiLCJQIjoiV2luMzIiLCJBTiI6Ik1haWwiLCJXVCI6Mn0%3D%7C0%7C%7C%7C&amp;sdata=GXWpH0SanZt071E1A0seNbYO3dHSW2l4PIzecnuhysA%3D&amp;reserved=0" TargetMode="External"/><Relationship Id="rId186" Type="http://schemas.openxmlformats.org/officeDocument/2006/relationships/hyperlink" Target="https://magicdocuments.ai/" TargetMode="External"/><Relationship Id="rId211" Type="http://schemas.openxmlformats.org/officeDocument/2006/relationships/hyperlink" Target="https://na01.safelinks.protection.outlook.com/?url=https%3A%2F%2Flink.mail.beehiiv.com%2Fss%2Fc%2FAFHHY18NT0_ddKuYrElMRtI00OhznQyO9omeD1h5CimkEBgFxHaysmDZUVIV-TNL31En0qWuSSOOii166EzicuKYlOULb6ZSXzdF7fkCJOLiKbCRNb6S1ebp-bYwaTVv7cewCTa6IJrGfZgNcku5jLDKPpAkpiYrmCJPHDdhIbSdr16p9Bn6_6yfG1zi_KKF%2F42c%2F_WBLUzqHQW2DWE7sPqeatg%2Fh19%2FI7R6K8TCgUR2KdDAAYWCQcOwYeWosJRLtYnLgv5eqvs&amp;data=05%7C02%7C%7C3895aa4839e94f9ef30208dc03111ceb%7C84df9e7fe9f640afb435aaaaaaaaaaaa%7C1%7C0%7C638388619287900547%7CUnknown%7CTWFpbGZsb3d8eyJWIjoiMC4wLjAwMDAiLCJQIjoiV2luMzIiLCJBTiI6Ik1haWwiLCJXVCI6Mn0%3D%7C3000%7C%7C%7C&amp;sdata=tca27GK1CI1ohvjJAWKLnXzCMg9aPqHwzXIH42f4BeQ%3D&amp;reserved=0" TargetMode="External"/><Relationship Id="rId232" Type="http://schemas.openxmlformats.org/officeDocument/2006/relationships/hyperlink" Target="https://link.mail.beehiiv.com/ss/c/AFHHY18NT0_ddKuYrElMRp641fUj79lVhFdcS3Xfvx_29I7AiWjnZ1vONIiA3fTLn-bv_oS9C8TX9lfMlr--0xZ9S7MEhXjGZA5yjLi1RfI7AiqiMp5cEtxFJHLc9B-aGBVaJWoljTV65yeV2U-n3yXiIkodcMtHk_IY1S0Ixs4/42v/nZXr1tPySXKmM7_zwAN6Jw/h14/kRmdJQzJiO8C50bOC9TI5JqH-tkrjk3SdastsLV89CA" TargetMode="External"/><Relationship Id="rId253" Type="http://schemas.openxmlformats.org/officeDocument/2006/relationships/hyperlink" Target="https://na01.safelinks.protection.outlook.com/?url=https%3A%2F%2Flink.mail.beehiiv.com%2Fss%2Fc%2FyAczCiX-iyAkwj0X9QHq0rRIoFogGyOiDxZc05J1JJDgOMvjAKl6W_hcpUM9ZWDL1GDFetsxEo9PRBAMJ_5tzWZxxeKX4rZ5BAHD5eRpLjJ2Ji25l-S8OMV3p2dRPEaZ3fVwUcAPmp-2McgFUTKTnbjnWjouzAe4_e3WjS_ZjBJSdvz7uL167rKH0pqn8_4wV9_aYJciApdItaOXI8UhNqU7glCZZ5RF-KImQmKfQLPcGgiFBbWzQNEKZ_mg7jdb%2F43h%2F7OxjGHLcTgywXbs0oXNXLQ%2Fh6%2FG3lOq3XPvzkgPOp8RDcvMRFo_hK1I6qnep6S8weU2QU&amp;data=05%7C02%7C%7C92b5a0b457a44f6603dd08dc23488154%7C84df9e7fe9f640afb435aaaaaaaaaaaa%7C1%7C0%7C638424041549909518%7CUnknown%7CTWFpbGZsb3d8eyJWIjoiMC4wLjAwMDAiLCJQIjoiV2luMzIiLCJBTiI6Ik1haWwiLCJXVCI6Mn0%3D%7C0%7C%7C%7C&amp;sdata=7j2ZPdHyYJG7MY6Iuxdysr%2FRxHJDv6BP4PHryR7zW%2FM%3D&amp;reserved=0" TargetMode="External"/><Relationship Id="rId274" Type="http://schemas.openxmlformats.org/officeDocument/2006/relationships/hyperlink" Target="https://www.getkadabra.com/" TargetMode="External"/><Relationship Id="rId27" Type="http://schemas.openxmlformats.org/officeDocument/2006/relationships/hyperlink" Target="https://riffo.ai/" TargetMode="External"/><Relationship Id="rId48" Type="http://schemas.openxmlformats.org/officeDocument/2006/relationships/hyperlink" Target="https://www.spinach.ai/" TargetMode="External"/><Relationship Id="rId69" Type="http://schemas.openxmlformats.org/officeDocument/2006/relationships/hyperlink" Target="https://na01.safelinks.protection.outlook.com/?url=https%3A%2F%2Flink.mail.beehiiv.com%2Fss%2Fc%2FAFHHY18NT0_ddKuYrElMRonZvaoYnx9aa-aqnTBBLfZRu-NnTS7gZ9v4zl_5bhBZwAncdeTJjXEFxpYDzoFxKZN3ADyUSlgNhnBAQN5TRfson_ciMNOJvyPG-509kon0DZCQHN6KYQo5s_ZTlziIihFsyBW3fHD-RfS5i3DgUOYxqwPPRZnt4Hg3ObCW710vF-cukn2-5dB8BPaY8NUa2Hk_HTKjXT475X4fX6s8Zok%2F42a%2FDUYKkIPEQImOg2lwGf1dYQ%2Fh21%2Fs21YA6otaraXkvsDHUSyqgHGpjT-noRczUOG9GDcGXw&amp;data=05%7C02%7C%7Cc07a9ba8d37e44a91f2f08dc017e4279%7C84df9e7fe9f640afb435aaaaaaaaaaaa%7C1%7C0%7C638386889054421601%7CUnknown%7CTWFpbGZsb3d8eyJWIjoiMC4wLjAwMDAiLCJQIjoiV2luMzIiLCJBTiI6Ik1haWwiLCJXVCI6Mn0%3D%7C3000%7C%7C%7C&amp;sdata=y%2ByRXTxMHrDsADqYYgfAH%2BF4qCE%2Bf3Jfm4mX1bGhIPM%3D&amp;reserved=0" TargetMode="External"/><Relationship Id="rId113" Type="http://schemas.openxmlformats.org/officeDocument/2006/relationships/hyperlink" Target="https://link.mail.beehiiv.com/ss/c/AFHHY18NT0_ddKuYrElMRp641fUj79lVhFdcS3Xfvx_29I7AiWjnZ1vONIiA3fTLn-bv_oS9C8TX9lfMlr--0xZ9S7MEhXjGZA5yjLi1RfI7AiqiMp5cEtxFJHLc9B-aGBVaJWoljTV65yeV2U-n3yXiIkodcMtHk_IY1S0Ixs4/42v/nZXr1tPySXKmM7_zwAN6Jw/h14/kRmdJQzJiO8C50bOC9TI5JqH-tkrjk3SdastsLV89CA" TargetMode="External"/><Relationship Id="rId134" Type="http://schemas.openxmlformats.org/officeDocument/2006/relationships/hyperlink" Target="https://na01.safelinks.protection.outlook.com/?url=https%3A%2F%2Flink.mail.beehiiv.com%2Fss%2Fc%2F0wlcaBm-wAGbfh-p66fdvDKBIuY8CnjYepRcJ4H-MybK3EPU3JtB8qzCE1e5TCrZDXR0kOhc9VDSAs1yFr2e5HTbgX_RdINml3hY4gKoLY0X1tKVKk3X-CmRe2drdCQEI1_k2Gf8_UfUElSONKj-bXa7EBxbpr1CFecVjxWXTcoT90xC9lEktcF09BawBFOuqJ0NY9FfuN0IHdBPz6QcEyjL2mVHfTE6j-j2X-O5i0w%2F438%2FZBlGr5r-QrKKyDaAJsM9-w%2Fh7%2FExjkmsjVZO-r7Ed1AG5-P1IQ3xs9YkI-s_mw0RKBQ1w&amp;data=05%7C02%7C%7C77deb5ee2ccf4c319ccd08dc1c35f0ad%7C84df9e7fe9f640afb435aaaaaaaaaaaa%7C1%7C0%7C638416265236664230%7CUnknown%7CTWFpbGZsb3d8eyJWIjoiMC4wLjAwMDAiLCJQIjoiV2luMzIiLCJBTiI6Ik1haWwiLCJXVCI6Mn0%3D%7C3000%7C%7C%7C&amp;sdata=jyswEsUbdhf0b8fgvUcmtdPx%2BQ6lwYEKNzMTDuhNPUk%3D&amp;reserved=0" TargetMode="External"/><Relationship Id="rId80" Type="http://schemas.openxmlformats.org/officeDocument/2006/relationships/hyperlink" Target="https://link.mail.beehiiv.com/ss/c/jMFTGBN48XY1wUMNWd3dQEmwVWgz4Llas26eQ3GOge9nMC0ZY7JG8iuBBOr_5qtUNEhkFcbZrWc1jQlGQ3M8HOfoyc6Xqo3DZFI4-o-6NoFhsfJ41gm65TcGbEu5H350AcyppHYsr7w08rSDl8YQVaq5V5-PQTpxeYRq4bE_iCaf_KQc3r53WnPIC_pjm40Y9a9w2k6bE5G3J1OAoJGaB-cyV2CaSzPoc8ALTltUcGjUhmTiAzIoxTm3HFMYAE04/42i/j5yR117ZR1WBEiOGjECApA/h9/3BA8_moIxHTBl-LsweYdjv5CkDGp6uY12Qm03bk6vDA" TargetMode="External"/><Relationship Id="rId155" Type="http://schemas.openxmlformats.org/officeDocument/2006/relationships/hyperlink" Target="https://na01.safelinks.protection.outlook.com/?url=https%3A%2F%2Flink.mail.beehiiv.com%2Fss%2Fc%2FAFHHY18NT0_ddKuYrElMRjEC3OVEvdClyN-rZVRd1Ikpf_hz2yKO0nMu5g_mf_g0mjN9LQoxpRca6dtXw5rOQF4VauOwXOoo5QtjLsb2jMe75oIp-ius1RzhWX7DZ12ewvl8B2aFQ-t70lOc_VIGheOSafQ1NNRqbi6y4Jgy6DFWIKz2D0J1qPN6hiMsm1In1tZup7vkOu1Zp7XB6N47Mg%2F43i%2FVZXkmRJsSFSMuNveIPAPOg%2Fh7%2FJJSXUvsq_UJ-lNai9FlXI8L8Da5rvUwD2zwssV9tkzo&amp;data=05%7C02%7C%7C75ba92a3f6b04a2e5e2c08dc2411b13f%7C84df9e7fe9f640afb435aaaaaaaaaaaa%7C1%7C0%7C638424905646271425%7CUnknown%7CTWFpbGZsb3d8eyJWIjoiMC4wLjAwMDAiLCJQIjoiV2luMzIiLCJBTiI6Ik1haWwiLCJXVCI6Mn0%3D%7C0%7C%7C%7C&amp;sdata=cO6Mi8pZwQkkZSobKa9DLHLfXodNqs49bGM7iESa2R8%3D&amp;reserved=0" TargetMode="External"/><Relationship Id="rId176" Type="http://schemas.openxmlformats.org/officeDocument/2006/relationships/hyperlink" Target="https://bubble.io/" TargetMode="External"/><Relationship Id="rId197" Type="http://schemas.openxmlformats.org/officeDocument/2006/relationships/hyperlink" Target="https://inbox-ai.app/" TargetMode="External"/><Relationship Id="rId201" Type="http://schemas.openxmlformats.org/officeDocument/2006/relationships/hyperlink" Target="https://na01.safelinks.protection.outlook.com/?url=https%3A%2F%2Flink.mail.beehiiv.com%2Fss%2Fc%2FAFHHY18NT0_ddKuYrElMRsq1BiRCgPWWfbhSm6kOK2LBR8UpyAWneQWDq_vwctjkURXZUg_Vehqp6K57yIQzle76f0eOp8lbUM42ZJhAiLXBgkgaCwOrXCA2cacLfNawR9q9_7ULhJ57zoLBNaEmUKCbBvSF7RJjrIkclQU1FWIomjcoB9gzTEdCjqgdFFLh%2F424%2FBVkUGzYrTG-kh98VJPJSTw%2Fh19%2FB9cg3maJvVxbiPAlvXNv7pluZUnOpzDqLqDKmiwr1uc&amp;data=05%7C02%7C%7Cfd3a0e0a2d644921ca6c08dbfcc76b46%7C84df9e7fe9f640afb435aaaaaaaaaaaa%7C1%7C0%7C638381705721564271%7CUnknown%7CTWFpbGZsb3d8eyJWIjoiMC4wLjAwMDAiLCJQIjoiV2luMzIiLCJBTiI6Ik1haWwiLCJXVCI6Mn0%3D%7C3000%7C%7C%7C&amp;sdata=DB6ldcBbGY5%2F37YN12M8o22VrFROaNGTPr%2BU4wicL8U%3D&amp;reserved=0" TargetMode="External"/><Relationship Id="rId222" Type="http://schemas.openxmlformats.org/officeDocument/2006/relationships/hyperlink" Target="https://link.mail.beehiiv.com/ss/c/AFHHY18NT0_ddKuYrElMRs05rr-SCUDWfEdQMtKWsEmHN5vjGwQEQrot_Vem-QwVWIssxdOmLbSvglPNWdSwUyGfYmtWkFkf1flt7iXHjRJ_BX-XYEkidu-CrPXidlMEzNlgpl8cfLZqdWex5A_M4caaYI5OJwswv_9LPcBI0X8-B9X7nniWkroKKsrHDSf3nuKvuUZANxgiojzesMI_MxaCNpu6Ir5z5EYDAqbv5tA/42o/Cyadq-2ySeygr9jbdj1HBA/h19/uG8b-fOtUDbkXthrUsbRBIdQYR2KTCRC1NwHRzjmVz8" TargetMode="External"/><Relationship Id="rId243" Type="http://schemas.openxmlformats.org/officeDocument/2006/relationships/hyperlink" Target="https://na01.safelinks.protection.outlook.com/?url=https%3A%2F%2Flink.mail.beehiiv.com%2Fss%2Fc%2FAFHHY18NT0_ddKuYrElMRkCfZdsSdKlC-w9f0RNAublDr1WQJK3vBtFx9YZHQucEOg91Mle8nyadJgImIoFz6Bx6aC1Tr_UvI1jcDrhX10vc4-KesO1Kf2ZkpURXiT4adCmZ__EVnVx6THFXb8V1Org4nZ0Cq_qcwKF4j-QmZFi0vui8ELbKqqEgKbIpyLdWu9HyaNW8edBig4xXeVQcOwEN_GO6Mq8XDvAO-yUs8bs%2F437%2F4vbfGtooTOG-XpTsrdoYDw%2Fh17%2F0oGAoGdKRZdO8YLNA5venZWmdU8QZWBr3ftruLybH94&amp;data=05%7C02%7C%7C86c4e1f9c72b4f721b0308dc1b6c231b%7C84df9e7fe9f640afb435aaaaaaaaaaaa%7C1%7C0%7C638415398499300788%7CUnknown%7CTWFpbGZsb3d8eyJWIjoiMC4wLjAwMDAiLCJQIjoiV2luMzIiLCJBTiI6Ik1haWwiLCJXVCI6Mn0%3D%7C3000%7C%7C%7C&amp;sdata=%2FmR4P6ptE5fv9RpQVaUcocqoqsMq3CQsPklyAxqPi3M%3D&amp;reserved=0" TargetMode="External"/><Relationship Id="rId264" Type="http://schemas.openxmlformats.org/officeDocument/2006/relationships/hyperlink" Target="https://ezsite.ai/" TargetMode="External"/><Relationship Id="rId285" Type="http://schemas.openxmlformats.org/officeDocument/2006/relationships/hyperlink" Target="https://gobii.ai/" TargetMode="External"/><Relationship Id="rId17" Type="http://schemas.openxmlformats.org/officeDocument/2006/relationships/hyperlink" Target="https://www.meta.ai/?utm_source=llama_meta_site&amp;utm_medium=web&amp;utm_content=Llama_nav&amp;utm_campaign=July_moment" TargetMode="External"/><Relationship Id="rId38" Type="http://schemas.openxmlformats.org/officeDocument/2006/relationships/hyperlink" Target="https://www.opencord.ai/" TargetMode="External"/><Relationship Id="rId59" Type="http://schemas.openxmlformats.org/officeDocument/2006/relationships/hyperlink" Target="https://na01.safelinks.protection.outlook.com/?url=https%3A%2F%2Flink.mail.beehiiv.com%2Fss%2Fc%2FAFHHY18NT0_ddKuYrElMRu1mM61JyYHmDwISLt1_boqDP0feY1wfKIbdxB64KedpQQ-U1wXug_G8DssvdkKdmbH_V9KgbWSTWW5EBuhkGDshCOW4sObvEGEo3VWGJ4BqwIHumjhy-eEldRP9m6IAxP0Q4zVD0svr0cM9miK_IT_8kUqqfgloFPmuimGsBDTXk0kuxtEetMaEMbLuZWT4gA%2F425%2FBAt7DEa7RBuNXTUzReGD5A%2Fh17%2F_BnEVcAtYArGenqcRkA8yZ70YM7694aMUIY_8-TP8Dc&amp;data=05%7C02%7C%7C9a9fcf3ef1f04979b0cd08dbfd90c779%7C84df9e7fe9f640afb435aaaaaaaaaaaa%7C1%7C0%7C638382570530352505%7CUnknown%7CTWFpbGZsb3d8eyJWIjoiMC4wLjAwMDAiLCJQIjoiV2luMzIiLCJBTiI6Ik1haWwiLCJXVCI6Mn0%3D%7C3000%7C%7C%7C&amp;sdata=gH2QT%2Bc3hDYBwgzQ9xSAR9TFZXambtGXlvOsKrKRrQI%3D&amp;reserved=0" TargetMode="External"/><Relationship Id="rId103" Type="http://schemas.openxmlformats.org/officeDocument/2006/relationships/hyperlink" Target="https://link.mail.beehiiv.com/ss/c/8Y-VoJkoDnX1zI1WLAgXFxz4Gr2Vaw0EpenY7pzFSEjWv0MvwlTQn5tq1DN1R8x9Yv7KBga4byCTi_QQ583SoG3CVMW5DL9T9_XzRLgzsyDtYNM24opocZMxQYgTQAPnWNtnUGirkBjBuQ23DzCWTPzKHaqfKf90zBC4SlehB7Q/42t/BW-dfpFeS66B4-Va138g3w/h15/GWosPWVLrsOoytIXLPd_zjnezqF47rK68-zWNbth6dA" TargetMode="External"/><Relationship Id="rId124" Type="http://schemas.openxmlformats.org/officeDocument/2006/relationships/hyperlink" Target="https://mindpal.space/" TargetMode="External"/><Relationship Id="rId70" Type="http://schemas.openxmlformats.org/officeDocument/2006/relationships/hyperlink" Target="https://na01.safelinks.protection.outlook.com/?url=https%3A%2F%2Flink.mail.beehiiv.com%2Fss%2Fc%2Fz0X5DY489zjmVLlFQopoHRCHH3wh5jmHDuaoN_N0ZmGDnsv46CP4PfEx0nBmbSB7VJycF2PppscZSEfzPYecgZVMrwWnXsVGrcWhcBgG7MzH7KMhKjgKRRcUqcc9JAVreLbT1iQuM-IUu17u8RwxE7RuqzGPMbIhUuh_k2Uyp5-52s3aU08kueTPito064FT5YCmBZyoFH1e_t0k8ly4jw%2F42a%2FDUYKkIPEQImOg2lwGf1dYQ%2Fh18%2FKURJNxPzdZRbF1wBHqsPfKjcAoaya-uXT5oz2jykr_M&amp;data=05%7C02%7C%7Cc07a9ba8d37e44a91f2f08dc017e4279%7C84df9e7fe9f640afb435aaaaaaaaaaaa%7C1%7C0%7C638386889054265389%7CUnknown%7CTWFpbGZsb3d8eyJWIjoiMC4wLjAwMDAiLCJQIjoiV2luMzIiLCJBTiI6Ik1haWwiLCJXVCI6Mn0%3D%7C3000%7C%7C%7C&amp;sdata=nO2XD6jtBnvJ2m0nRJ78KtusNtzZ0bm7UKI6c%2Fpxnos%3D&amp;reserved=0" TargetMode="External"/><Relationship Id="rId91" Type="http://schemas.openxmlformats.org/officeDocument/2006/relationships/hyperlink" Target="https://link.mail.beehiiv.com/ss/c/-72w8iesgkP33vyeWj1Mx5nhZXQgkfo57t3dH6PppwzA0v9G1rDw8FQAdjRc80bwYef4a4ipAhwTIHjheNaIISebjYn2zcKnxWKl9oRzPgCw7E5VRvdRDkckc_x4pE-wuCPck5LRqSTu2119P2Hlz9GE3ccZQ2MtERChi-nwOdXkOVvKx42MjTvfNxM6p0zpQucHonVN-TCzJelzurfAOw/42o/Cyadq-2ySeygr9jbdj1HBA/h20/wT0C0ZMPy_VpF9LTYSG8ouwW54QYvQPn7wAC8fH73M8" TargetMode="External"/><Relationship Id="rId145" Type="http://schemas.openxmlformats.org/officeDocument/2006/relationships/hyperlink" Target="https://na01.safelinks.protection.outlook.com/?url=https%3A%2F%2Flink.mail.beehiiv.com%2Fss%2Fc%2Fi2IHzAzoiY266rd2UY2dVLbeFUTZ8GeohqMqOOg-j-mXLOTFWiraJ_JpiUoHF-DN1hKjb6UNpeqUtwI_qtWDQPCiuxSUW3Y31gCByoblQjsqE14JX6T5NVHNOarJCpzBpQgJFOcC3ClMItuBDbMqyY3mc5FiGqgdiJPEhn3sXE3vQT-jcC8RWnEW7aaGxEuf%2F43e%2FQIfQDPINSjmv2FtXeaijkg%2Fh7%2FuwpZczONBtzCuLHWLy04muQ3dULiZagnXjtBwwMhrf0&amp;data=05%7C02%7C%7Cbf82f73ec0fd4de2a8ad08dc20f45de3%7C84df9e7fe9f640afb435aaaaaaaaaaaa%7C1%7C0%7C638421481151376378%7CUnknown%7CTWFpbGZsb3d8eyJWIjoiMC4wLjAwMDAiLCJQIjoiV2luMzIiLCJBTiI6Ik1haWwiLCJXVCI6Mn0%3D%7C0%7C%7C%7C&amp;sdata=yL2%2FbNYn5L8T5dB5RODr88YLe9Gq%2Ft40VgT21rD7%2BgA%3D&amp;reserved=0" TargetMode="External"/><Relationship Id="rId166" Type="http://schemas.openxmlformats.org/officeDocument/2006/relationships/hyperlink" Target="https://na01.safelinks.protection.outlook.com/?url=https%3A%2F%2Flink.mail.beehiiv.com%2Fss%2Fc%2FAFHHY18NT0_ddKuYrElMRmrcnMgb38BJfRKojett7yoytuQzewiutW615-PLCzFlmeCHyVaju_hHJFfoNywycXfhBkaB-FVDwyFwsDhM7IFi5ilnnfkUoEZJ8qtYT7-wHB5kRi6CRDNWrPOn6BsIKuKKZ6kEmwpLdoJrUU3ZXQsx6BkCmgotmY3k_YiW4VgTtqSt5vFccc2AweoN3XcEsIqnodTZXU8BMxEBGVTEPMU%2F43n%2FiO-pL6SiSOqAXUwE07J6jg%2Fh9%2Fdw-NsTVcNgMB7Fck7dvtRa6rj0oR9ggHPzGB57ihfNs&amp;data=05%7C02%7C%7Ccf9a69073011423d7bb908dc280386ca%7C84df9e7fe9f640afb435aaaaaaaaaaaa%7C1%7C0%7C638429242852204235%7CUnknown%7CTWFpbGZsb3d8eyJWIjoiMC4wLjAwMDAiLCJQIjoiV2luMzIiLCJBTiI6Ik1haWwiLCJXVCI6Mn0%3D%7C0%7C%7C%7C&amp;sdata=ab1uTdgHqsAS71OWDMax8MXUL%2FrYnJwB4b8e%2Bx5kKss%3D&amp;reserved=0" TargetMode="External"/><Relationship Id="rId187" Type="http://schemas.openxmlformats.org/officeDocument/2006/relationships/hyperlink" Target="https://www.magicinspector.com/" TargetMode="External"/><Relationship Id="rId1" Type="http://schemas.openxmlformats.org/officeDocument/2006/relationships/hyperlink" Target="https://blink.new/" TargetMode="External"/><Relationship Id="rId212" Type="http://schemas.openxmlformats.org/officeDocument/2006/relationships/hyperlink" Target="https://na01.safelinks.protection.outlook.com/?url=https%3A%2F%2Flink.mail.beehiiv.com%2Fss%2Fc%2FjMFTGBN48XY1wUMNWd3dQGyHNhMMSXsNBagoKyz8Ag_fDqKIEWPR1vBGQkxc9waVuHePCPCGFHu1p8zN0O-Tzbfl14lnbtYClxrOecCWFTCKYjMKrFnb81gpCG6VeiVVXmYcyDIS8MuXZF-Wlx8-X0hdjsHFp_tUKZC3Gn3JT7NWFcdMbwZ57HdrNUu-L-Zz%2F42c%2F_WBLUzqHQW2DWE7sPqeatg%2Fh18%2FbsH-W8SAEkPbLirhm90bEluh4RfHyNMksXQn2HXOGQM&amp;data=05%7C02%7C%7C3895aa4839e94f9ef30208dc03111ceb%7C84df9e7fe9f640afb435aaaaaaaaaaaa%7C1%7C0%7C638388619287900547%7CUnknown%7CTWFpbGZsb3d8eyJWIjoiMC4wLjAwMDAiLCJQIjoiV2luMzIiLCJBTiI6Ik1haWwiLCJXVCI6Mn0%3D%7C3000%7C%7C%7C&amp;sdata=jnXlR4EwsraD8%2BDtYQEcpbO2n%2F189BTApHBRk4VqliQ%3D&amp;reserved=0" TargetMode="External"/><Relationship Id="rId233" Type="http://schemas.openxmlformats.org/officeDocument/2006/relationships/hyperlink" Target="https://link.mail.beehiiv.com/ss/c/jMFTGBN48XY1wUMNWd3dQHW6lE2mFf0IzgKo8aO34tFZV_OpEv4oH6TQhs4dyd006iMYXEbKb5t_eyUDqXW93jUAZMO56MV8DRvJUgc5eGQEgK707MwVUcO9jnhF0UXAPcEY1_-m0GBMZAcB_raJuEQHLfBYM5rIH5B2WqLUOLU/42w/f1oAezbGRg-h6mWpOtN6Kg/h10/CfhaaIj2ieMeLJwTWCfZc0AsSf88tb_BPr-DQnnWuoM" TargetMode="External"/><Relationship Id="rId254" Type="http://schemas.openxmlformats.org/officeDocument/2006/relationships/hyperlink" Target="https://na01.safelinks.protection.outlook.com/?url=https%3A%2F%2Flink.mail.beehiiv.com%2Fss%2Fc%2FAFHHY18NT0_ddKuYrElMRqQuFD3C-frH95uHYV-FZMefNow6DAqrRbJVv0bcTD2WpksbMJENIU9pm6s7JyBjxT_eedpGuJuKDUaVXtluLfS-iBAAXm-dGjH-JqXPH9CQwZNNZnpbhuwDuP1vEI8iL8cOK-Mh9A1_TTO2ZOcLbPmg3BEJ85Z2NISmirXhzo4BoQe27_dHZqJpYP2ClAmwfQ%2F43i%2FVZXkmRJsSFSMuNveIPAPOg%2Fh4%2FjAk_IFRxE0Ik0jvU2A84WnpBjIncTfIpYMwdUyROqHw&amp;data=05%7C02%7C%7C75ba92a3f6b04a2e5e2c08dc2411b13f%7C84df9e7fe9f640afb435aaaaaaaaaaaa%7C1%7C0%7C638424905646229217%7CUnknown%7CTWFpbGZsb3d8eyJWIjoiMC4wLjAwMDAiLCJQIjoiV2luMzIiLCJBTiI6Ik1haWwiLCJXVCI6Mn0%3D%7C0%7C%7C%7C&amp;sdata=bUP4skNnjo5zAKWCd7o3enEj3nH518kn0ydxQvmZb7g%3D&amp;reserved=0" TargetMode="External"/><Relationship Id="rId28" Type="http://schemas.openxmlformats.org/officeDocument/2006/relationships/hyperlink" Target="https://www.layerpath.com/" TargetMode="External"/><Relationship Id="rId49" Type="http://schemas.openxmlformats.org/officeDocument/2006/relationships/hyperlink" Target="https://www.oliv.ai/" TargetMode="External"/><Relationship Id="rId114" Type="http://schemas.openxmlformats.org/officeDocument/2006/relationships/hyperlink" Target="https://link.mail.beehiiv.com/ss/c/i2IHzAzoiY266rd2UY2dVLRKY324naP6w6QGonCv2z9nATYrogLN863Y_wOUvtpU38sab4uo72H4Bbtvg-L1SKMoZpv8WFjAIHiluJhDI9vasEOm_UiOfDQLFMAkfcEupMjq4hebIw8pyrJ_sBtyb7a_YMMCr00t5ldX8vFTYkk/42v/nZXr1tPySXKmM7_zwAN6Jw/h13/eVpJKUMz-FJU7wgywtMs_PDUCSgx73j8MR0n8VvDGf8" TargetMode="External"/><Relationship Id="rId275" Type="http://schemas.openxmlformats.org/officeDocument/2006/relationships/hyperlink" Target="https://mgx.dev/" TargetMode="External"/><Relationship Id="rId60" Type="http://schemas.openxmlformats.org/officeDocument/2006/relationships/hyperlink" Target="https://na01.safelinks.protection.outlook.com/?url=https%3A%2F%2Flink.mail.beehiiv.com%2Fss%2Fc%2FAFHHY18NT0_ddKuYrElMRnfH6BtS_Ry27Qz3s-fdKyd6N2Dhqy8PkZJnHQCjzAwHaNd59NrZLyIkvpcCxsH8M5YRF3RBsw5IB30G25-HtCiK3gdNCwpSwwTNz8RmC7x8lnj1R-vH5uThraL0WD0rMCH80u3vVELUODUfzyvkCUrtnGEuGGX0GHLCP0rKvxZs90-SfNwZ1_d0ifhoaSaMKQ%2F425%2FBAt7DEa7RBuNXTUzReGD5A%2Fh16%2FfItVy1tnloC2pLOXfXPnuqhO_I8sBDYbuj0BFwiVpIw&amp;data=05%7C02%7C%7C9a9fcf3ef1f04979b0cd08dbfd90c779%7C84df9e7fe9f640afb435aaaaaaaaaaaa%7C1%7C0%7C638382570530352505%7CUnknown%7CTWFpbGZsb3d8eyJWIjoiMC4wLjAwMDAiLCJQIjoiV2luMzIiLCJBTiI6Ik1haWwiLCJXVCI6Mn0%3D%7C3000%7C%7C%7C&amp;sdata=OCelr%2BUORY56zVK3VpDs64P8V4QHxkgVxpA1GmmKFQE%3D&amp;reserved=0" TargetMode="External"/><Relationship Id="rId81" Type="http://schemas.openxmlformats.org/officeDocument/2006/relationships/hyperlink" Target="https://link.mail.beehiiv.com/ss/c/AFHHY18NT0_ddKuYrElMRqy2GU225o8kdHSdqDQYD8O20WpZD27r-8y31V--LWll15vjeMg5mo1zEXqCvqQ8hobMmCoGUT-sXn6uHM7K4sFqqQi1CZt7ErY5HQ3zf8gD2rsioWrOZHv_gQQXh_2gEIggbVtn9j11cg1DV0czkg_VyI9x_olYJU8Y3aC_US3r9haRjx7ipnDBN_ewGAPX7AKWdlfRWOPNkhoYMQcQOTiYXpG82FOY50vBaQCP6UdP/42i/j5yR117ZR1WBEiOGjECApA/h8/wWTDR6xfLMYo4MIJn9-CyDMdyfPXOCmF00O20y956Aw" TargetMode="External"/><Relationship Id="rId135" Type="http://schemas.openxmlformats.org/officeDocument/2006/relationships/hyperlink" Target="https://na01.safelinks.protection.outlook.com/?url=https%3A%2F%2Flink.mail.beehiiv.com%2Fss%2Fc%2FAFHHY18NT0_ddKuYrElMRrox_2iSPZPcSBD35rhAskh4L91CnyPUG6MWJ1wcfsv242t0KzACrpCXDzyYhq2omUuQim8HceicljYOD2ti1aIPx-AtTmAEcew_crJKswx99ATCeR4GCgGakpNd30M5FH1aTR7Pgdz3DWWF15CfYPCFl25dOLbf07TO9BC6O1XKaOkB1pOFhD_IHrOayV-0UJGyYNZdxTMZjdc6XLYfQ_8%2F438%2FZBlGr5r-QrKKyDaAJsM9-w%2Fh6%2FZj-62_In0dsSw14YwWrZEUeLSakU0G83hc0GuS0vpW4&amp;data=05%7C02%7C%7C77deb5ee2ccf4c319ccd08dc1c35f0ad%7C84df9e7fe9f640afb435aaaaaaaaaaaa%7C1%7C0%7C638416265236649678%7CUnknown%7CTWFpbGZsb3d8eyJWIjoiMC4wLjAwMDAiLCJQIjoiV2luMzIiLCJBTiI6Ik1haWwiLCJXVCI6Mn0%3D%7C3000%7C%7C%7C&amp;sdata=nTV3ZIJOJQULYthfHpUKNQl4henppfDTcNgYGK9DShM%3D&amp;reserved=0" TargetMode="External"/><Relationship Id="rId156" Type="http://schemas.openxmlformats.org/officeDocument/2006/relationships/hyperlink" Target="https://na01.safelinks.protection.outlook.com/?url=https%3A%2F%2Flink.mail.beehiiv.com%2Fss%2Fc%2F8iXKAwwMM1W-cI7L7LOvGvwvt3bZcrE4Rtll0EyAjPArr1xlLbg9xTyIzKixpq7TRIN_C8NjXUJJg69E7SudHwsz0jblFEcfus6gM4S5xxlpFD--XEQmcf6g-D3pRzjmgFfPrH3m01IbPlNAI9qLUZUoJ-1eS29LfC082O5eUzSP5-wCLfQTaOznx0zUaQ-ExnDYM3O6pZntGYNF6K42Xg%2F43i%2FVZXkmRJsSFSMuNveIPAPOg%2Fh5%2Fe2crXtM9aK8c66hO_K7lxKJWPEAvXB9v9kC_1gsl7IU&amp;data=05%7C02%7C%7C75ba92a3f6b04a2e5e2c08dc2411b13f%7C84df9e7fe9f640afb435aaaaaaaaaaaa%7C1%7C0%7C638424905646243297%7CUnknown%7CTWFpbGZsb3d8eyJWIjoiMC4wLjAwMDAiLCJQIjoiV2luMzIiLCJBTiI6Ik1haWwiLCJXVCI6Mn0%3D%7C0%7C%7C%7C&amp;sdata=o2%2FYppcYq5RMs0UUvvCDbRoNvCLc6%2FB0RF94eptSkpI%3D&amp;reserved=0" TargetMode="External"/><Relationship Id="rId177" Type="http://schemas.openxmlformats.org/officeDocument/2006/relationships/hyperlink" Target="https://notebooklm.google/" TargetMode="External"/><Relationship Id="rId198" Type="http://schemas.openxmlformats.org/officeDocument/2006/relationships/hyperlink" Target="https://www.artisan.co/ai-sales-agent" TargetMode="External"/><Relationship Id="rId202" Type="http://schemas.openxmlformats.org/officeDocument/2006/relationships/hyperlink" Target="https://na01.safelinks.protection.outlook.com/?url=https%3A%2F%2Flink.mail.beehiiv.com%2Fss%2Fc%2FmRpFJppvZP-Kc2DMS078G-NhYi2ZT0Wn6zOJBpw2cOkiCm4U0Q_lsC4sTz08gR7juY0OHlZJ_v5wUTHVYGdegPwgUsfyuUQk_dAXA7matYIagYCrIQ1RtDnk1m8onP5MKTV7-l80UEjziPV7Ui17r9WJsHy9knDe-Z5gpgI8gt1CGFDc5SP7modjxcxEBvhm%2F424%2FBVkUGzYrTG-kh98VJPJSTw%2Fh16%2Fqj4yGKVsIXYeh8Rd5EzkQ7aIj3BUShY9yingbo6v2pA&amp;data=05%7C02%7C%7Cfd3a0e0a2d644921ca6c08dbfcc76b46%7C84df9e7fe9f640afb435aaaaaaaaaaaa%7C1%7C0%7C638381705721564271%7CUnknown%7CTWFpbGZsb3d8eyJWIjoiMC4wLjAwMDAiLCJQIjoiV2luMzIiLCJBTiI6Ik1haWwiLCJXVCI6Mn0%3D%7C3000%7C%7C%7C&amp;sdata=wRgOYG1sNRMQ%2F9CNOVpIoD%2Fpc5pK3NsShtRoTIReYwI%3D&amp;reserved=0" TargetMode="External"/><Relationship Id="rId223" Type="http://schemas.openxmlformats.org/officeDocument/2006/relationships/hyperlink" Target="https://link.mail.beehiiv.com/ss/c/AFHHY18NT0_ddKuYrElMRoj953jP9c1wjfhbwZUuF62ZQKLQCUGpoG1p-MoNVdA3bpvngVwKDkdq265m-7CgZnlrXqov4fGoWL93rriOK77Qf8yDcixD72ZT9P6DtnpYIWQjz84Yi1f5aJxNsEJqhjkhX3ZtNYutywDqNOU7rCWE1emd3FLar4F8IF6UMh0dkRqr1FpgXP_m3sqeZGX64IVh5DvJdrW7cfadsrf8YMQ/42p/JkpIHFtGTxqXEK5AwNbd_Q/h17/so_o6RorAxrBA3JPCwrfZtj40yVhsYC05ORu4rRXoyI" TargetMode="External"/><Relationship Id="rId244" Type="http://schemas.openxmlformats.org/officeDocument/2006/relationships/hyperlink" Target="https://na01.safelinks.protection.outlook.com/?url=https%3A%2F%2Flink.mail.beehiiv.com%2Fss%2Fc%2FKZgkyqbE_I-VHvNb_lZxb3JopcjDZmlXA44GDXZgLDoZH49-uhRb924i1CrrRnHrP69XodyeJp58AgTGzYMLh-TV9YcGSdWptkRhIAAYesOePPkf-73j2nQTNVVN0Bn4UefFMsMDfrDnVwut3EsII14V_oZD3-Rw3dSw-286aA-LCSthQEDf7C7QI7CM-uB9_9Dx9rrBA79msW0Qe14ROQ%2F437%2F4vbfGtooTOG-XpTsrdoYDw%2Fh16%2Fz3Jp_f-d9B0hZl0HWxyLdyfdu6q6Ucy5IqBQOZ3e4Yg&amp;data=05%7C02%7C%7C86c4e1f9c72b4f721b0308dc1b6c231b%7C84df9e7fe9f640afb435aaaaaaaaaaaa%7C1%7C0%7C638415398499293781%7CUnknown%7CTWFpbGZsb3d8eyJWIjoiMC4wLjAwMDAiLCJQIjoiV2luMzIiLCJBTiI6Ik1haWwiLCJXVCI6Mn0%3D%7C3000%7C%7C%7C&amp;sdata=RpFu71Z3YXzBgC9%2F7awWNHaA1QXTQAffRh2buRdvZ9s%3D&amp;reserved=0" TargetMode="External"/><Relationship Id="rId18" Type="http://schemas.openxmlformats.org/officeDocument/2006/relationships/hyperlink" Target="https://clickup.com/teams" TargetMode="External"/><Relationship Id="rId39" Type="http://schemas.openxmlformats.org/officeDocument/2006/relationships/hyperlink" Target="https://chatperk.ai/" TargetMode="External"/><Relationship Id="rId265" Type="http://schemas.openxmlformats.org/officeDocument/2006/relationships/hyperlink" Target="https://www.kairosautomations.com/" TargetMode="External"/><Relationship Id="rId286" Type="http://schemas.openxmlformats.org/officeDocument/2006/relationships/hyperlink" Target="https://www.kimi.com/" TargetMode="External"/><Relationship Id="rId50" Type="http://schemas.openxmlformats.org/officeDocument/2006/relationships/hyperlink" Target="https://meetgeek.ai/" TargetMode="External"/><Relationship Id="rId104" Type="http://schemas.openxmlformats.org/officeDocument/2006/relationships/hyperlink" Target="https://link.mail.beehiiv.com/ss/c/i142ipyW89EI2-TL2DD4FITDBMNRoYFfxy52DHo9f65xGlOPGTY4fPoc8LgKtPCkmEHlkXEefq72xf2Fo0RrSid3rvGJXVGCarGcIrssu8zQSWUvrV4OIpvz7kIPEoICABv1DvifrS-UqFFn6aKsccdb3ryMOIBoaKOHdb7WfXs/42t/BW-dfpFeS66B4-Va138g3w/h14/7jGjTWV_z7LIRUaMRquC6ukJNahVSukeGgNvB7N6qCs" TargetMode="External"/><Relationship Id="rId125" Type="http://schemas.openxmlformats.org/officeDocument/2006/relationships/hyperlink" Target="https://link.mail.beehiiv.com/ss/c/AFHHY18NT0_ddKuYrElMRoW2KOggb2m0Obgwk3LyheUesaHyqhP-TPuvb2arl2UB0y22lCfTHYeqlzYqi5FMLKUJCO0C2wHEfcIl71fVxHqY2HoEQC2iQiUjl1d2EtSgsvSovOeMTVGpUlEgVI0pecB4jfpcvbQJTNqT5Qj2NWju7n5Lblq9CI-B9hN2Q__C/432/uYDT4K0OT3-IxStQIaXqyA/h13/Hl9aSIeaavoWDHKB_htEJU2d0519Ke4D5WaT6BiCcyg" TargetMode="External"/><Relationship Id="rId146" Type="http://schemas.openxmlformats.org/officeDocument/2006/relationships/hyperlink" Target="https://na01.safelinks.protection.outlook.com/?url=https%3A%2F%2Flink.mail.beehiiv.com%2Fss%2Fc%2FAFHHY18NT0_ddKuYrElMRsU-tK7fETgKQRYEDyoqAcytCzePvLUAU7g67bM0ZmWv-zx7_xvycbfxF3da9du0CaZKFNW2zzuW3z5kEqgjubdtokyDso6xkGep1Wj9Aa_DcfloPnZGoUDUApGa33dlwWzkz2xVLkl9eaAiYiZAcAcF3aHCLB2SI700Op2n288KtwWV5zRQGu9XBOzTNuE4Tzo3277d1SswFeAeYyF1eeQ%2F43e%2FQIfQDPINSjmv2FtXeaijkg%2Fh6%2FWEVB4VsSynKi5YRqiJ2SZqG6wFWY_AYqXMRKoytMSdU&amp;data=05%7C02%7C%7Cbf82f73ec0fd4de2a8ad08dc20f45de3%7C84df9e7fe9f640afb435aaaaaaaaaaaa%7C1%7C0%7C638421481151368479%7CUnknown%7CTWFpbGZsb3d8eyJWIjoiMC4wLjAwMDAiLCJQIjoiV2luMzIiLCJBTiI6Ik1haWwiLCJXVCI6Mn0%3D%7C0%7C%7C%7C&amp;sdata=KdyXgCc1YJEg6e%2FxHdWUEgOEEQ3LMBv%2FRaKr2kXzuBY%3D&amp;reserved=0" TargetMode="External"/><Relationship Id="rId167" Type="http://schemas.openxmlformats.org/officeDocument/2006/relationships/hyperlink" Target="https://na01.safelinks.protection.outlook.com/?url=https%3A%2F%2F31634813.bhclick.com%2Fss%2Fc%2FAFHHY18NT0_ddKuYrElMRkEpMsvb2J77l7_idN_OXGtmlYqwkKLQmE0njdMtlNiOmKfX-2YI-xc9X_aMB_w-FWkPpF-oxeTOzrWcr1XlzcougZf0HZcLl9taoYXnJeA1a259s3PiZMoaV1CfZgZOZyskozzh8v-f77iCbpiwNJvYrr9v7UuqEkIobQ-3_lHXnBfmX2wHqYCxXWEN2mFIOMH5S0mttdE0rKklgz6pqAw%2F43o%2FTYbM0llAQ9i5NV5nw08yTw%2Fh13%2Fxue3ONpG2eKF3EwpQ9pwKJAKNYxe-QK8kGdqCoMYHPQ&amp;data=05%7C02%7C%7C9033785e649243c4dfaa08dc28c8a6bc%7C84df9e7fe9f640afb435aaaaaaaaaaaa%7C1%7C0%7C638430089486120439%7CUnknown%7CTWFpbGZsb3d8eyJWIjoiMC4wLjAwMDAiLCJQIjoiV2luMzIiLCJBTiI6Ik1haWwiLCJXVCI6Mn0%3D%7C0%7C%7C%7C&amp;sdata=RlZvbu2qNnHLiWEaMRpsgtiD0AxSQCVwr3W8XdOnCKA%3D&amp;reserved=0" TargetMode="External"/><Relationship Id="rId188" Type="http://schemas.openxmlformats.org/officeDocument/2006/relationships/hyperlink" Target="https://sequel.sh/" TargetMode="External"/><Relationship Id="rId71" Type="http://schemas.openxmlformats.org/officeDocument/2006/relationships/hyperlink" Target="https://na01.safelinks.protection.outlook.com/?url=https%3A%2F%2Flink.mail.beehiiv.com%2Fss%2Fc%2FAFHHY18NT0_ddKuYrElMRku4CpQ8eS1ttfx2igCgGqqJPHiRF_w2PQ-iQJgispeT46AKhjw2ZjOaHb6gKQqRXGoqOD-0URKnbbb2BtL2k4MWu5eNfDpqyWdL3lN4TGSGfna8mchPfLw7hLKWlO_KX8MU30g2nO893yu8DZnPrjMjG6jWagFxsiHuO3RIEkz8%2F42c%2F_WBLUzqHQW2DWE7sPqeatg%2Fh20%2FUolPy5kM-_teyzPjJ8Dp0R2ynJWWCc5bw53X2_y43ho&amp;data=05%7C02%7C%7C3895aa4839e94f9ef30208dc03111ceb%7C84df9e7fe9f640afb435aaaaaaaaaaaa%7C1%7C0%7C638388619287900547%7CUnknown%7CTWFpbGZsb3d8eyJWIjoiMC4wLjAwMDAiLCJQIjoiV2luMzIiLCJBTiI6Ik1haWwiLCJXVCI6Mn0%3D%7C3000%7C%7C%7C&amp;sdata=fq0GthOo89ykdnwF%2FQJXCaT86dguwMAzfs1j8HfUKco%3D&amp;reserved=0" TargetMode="External"/><Relationship Id="rId92" Type="http://schemas.openxmlformats.org/officeDocument/2006/relationships/hyperlink" Target="https://link.mail.beehiiv.com/ss/c/AFHHY18NT0_ddKuYrElMRs05rr-SCUDWfEdQMtKWsEmHN5vjGwQEQrot_Vem-QwVWIssxdOmLbSvglPNWdSwUyGfYmtWkFkf1flt7iXHjRJ_BX-XYEkidu-CrPXidlMEzNlgpl8cfLZqdWex5A_M4caaYI5OJwswv_9LPcBI0X8-B9X7nniWkroKKsrHDSf3nuKvuUZANxgiojzesMI_MxaCNpu6Ir5z5EYDAqbv5tA/42o/Cyadq-2ySeygr9jbdj1HBA/h19/uG8b-fOtUDbkXthrUsbRBIdQYR2KTCRC1NwHRzjmVz8" TargetMode="External"/><Relationship Id="rId213" Type="http://schemas.openxmlformats.org/officeDocument/2006/relationships/hyperlink" Target="https://na01.safelinks.protection.outlook.com/?url=https%3A%2F%2Flink.mail.beehiiv.com%2Fss%2Fc%2FAFHHY18NT0_ddKuYrElMRsC79YZhD8WlzUuZ-GDa7Bm_FH2FiBlkyRkyiTOhR2h67OsK33_ecFYVsW9YymEW3_w1fZZFoPwhC8z3_zgvwc9-Y78OV9BRBeDaQr64alOguCmWnh1PX2BzE_6IV3Z-0FHaXemACHm_ZKvKVqdKArAGZOosuz38mNO8rPc1Nb-9%2F42c%2F_WBLUzqHQW2DWE7sPqeatg%2Fh16%2FT5csxwASQoSYcyZu7X_KHEvfs0YU3GW9lZE8M-Nt3Ow&amp;data=05%7C02%7C%7C3895aa4839e94f9ef30208dc03111ceb%7C84df9e7fe9f640afb435aaaaaaaaaaaa%7C1%7C0%7C638388619287744292%7CUnknown%7CTWFpbGZsb3d8eyJWIjoiMC4wLjAwMDAiLCJQIjoiV2luMzIiLCJBTiI6Ik1haWwiLCJXVCI6Mn0%3D%7C3000%7C%7C%7C&amp;sdata=i54DCTe%2FLCnK973Uo8uJiSpU6yE9CNNSXgunFWYEkg4%3D&amp;reserved=0" TargetMode="External"/><Relationship Id="rId234" Type="http://schemas.openxmlformats.org/officeDocument/2006/relationships/hyperlink" Target="https://link.mail.beehiiv.com/ss/c/AFHHY18NT0_ddKuYrElMRuvIhyuq6vkUltbdNjaYkxmTwoSPL60Ldw7Am9ssMAnbg9AZgzwxhaqq0bDsowxBi6_-M6oBefTgBPiGrCRBXfb5TMpUVVfd4YXLS8TH5TBTDkaHNiQCqOF9gCFuL-Nys9se3Wsd0CEzB5OT73bPAu4/42x/ugknEuMqS_-W8W1KV-PmbQ/h19/cy_J3pUiAmiYuzzCW5R_zoqlAKoiPkDoJ0q_uOvSKpw" TargetMode="External"/><Relationship Id="rId2" Type="http://schemas.openxmlformats.org/officeDocument/2006/relationships/hyperlink" Target="https://contactout.com/" TargetMode="External"/><Relationship Id="rId29" Type="http://schemas.openxmlformats.org/officeDocument/2006/relationships/hyperlink" Target="https://app.trytelescope.io/" TargetMode="External"/><Relationship Id="rId255" Type="http://schemas.openxmlformats.org/officeDocument/2006/relationships/hyperlink" Target="https://na01.safelinks.protection.outlook.com/?url=https%3A%2F%2Flink.mail.beehiiv.com%2Fss%2Fc%2FAFHHY18NT0_ddKuYrElMRkKHllf_JGzD6u4CTVtttfV7wstuvcIGAg67I8DrxCnahheNOVcdrd8aVCSEWW9rPcOaUtO3L_8baiCayJJoTqvGfUkXpdSQAtK7mvLSdNzTXqcL4LwEryeNXIsY_8ItOIrGEuxm1b0PV-2qHCcDm5ySayUHBxGlmmbZAf-h7PmM%2F43m%2FvFXgn5S6T7Sw99TphhHG7Q%2Fh8%2F3X95dg9dXddlvOHG-fty5eTCMuNUZzhmAkxuUk8Gr20&amp;data=05%7C02%7C%7C2468f54dedf74fd6b8bf08dc271ca354%7C84df9e7fe9f640afb435aaaaaaaaaaaa%7C1%7C0%7C638428251196488610%7CUnknown%7CTWFpbGZsb3d8eyJWIjoiMC4wLjAwMDAiLCJQIjoiV2luMzIiLCJBTiI6Ik1haWwiLCJXVCI6Mn0%3D%7C0%7C%7C%7C&amp;sdata=4mNJ6cnJLEflsQOsSqYNgBMwtKYrW9uvFQzA5awCokA%3D&amp;reserved=0" TargetMode="External"/><Relationship Id="rId276" Type="http://schemas.openxmlformats.org/officeDocument/2006/relationships/hyperlink" Target="https://flowiseai.com/" TargetMode="External"/><Relationship Id="rId40" Type="http://schemas.openxmlformats.org/officeDocument/2006/relationships/hyperlink" Target="https://www.pentory.net/en/summary" TargetMode="External"/><Relationship Id="rId115" Type="http://schemas.openxmlformats.org/officeDocument/2006/relationships/hyperlink" Target="https://link.mail.beehiiv.com/ss/c/jMFTGBN48XY1wUMNWd3dQHW6lE2mFf0IzgKo8aO34tFZV_OpEv4oH6TQhs4dyd006iMYXEbKb5t_eyUDqXW93jUAZMO56MV8DRvJUgc5eGQEgK707MwVUcO9jnhF0UXAPcEY1_-m0GBMZAcB_raJuEQHLfBYM5rIH5B2WqLUOLU/42w/f1oAezbGRg-h6mWpOtN6Kg/h10/CfhaaIj2ieMeLJwTWCfZc0AsSf88tb_BPr-DQnnWuoM" TargetMode="External"/><Relationship Id="rId136" Type="http://schemas.openxmlformats.org/officeDocument/2006/relationships/hyperlink" Target="https://na01.safelinks.protection.outlook.com/?url=https%3A%2F%2Flink.mail.beehiiv.com%2Fss%2Fc%2FAFHHY18NT0_ddKuYrElMRuz4LEzPWBDT6TqVd_88Z__MN_qGLCe9spe5OgjnuyA9J6AGDT0vIcyr7LdIuD366Ga6mWxXVjcmWMrj5qW-AmSfCbqPLTO7FkXkX6kU7RqEiJ13RR4agJgt-67XJctbDKuaJXODBuvmqG1psMjtwYoMRNveU_on1_7Hijvq12p7%2F439%2F7NNvPY5YTHue3LuSHhrglA%2Fh10%2FHh5YYy1gYruyocZSKgRqY8fSqDEMTXd_VaIOS9LPyu4&amp;data=05%7C02%7C%7C52be88a3112842a8554d08dc1d004951%7C84df9e7fe9f640afb435aaaaaaaaaaaa%7C1%7C0%7C638417134291892935%7CUnknown%7CTWFpbGZsb3d8eyJWIjoiMC4wLjAwMDAiLCJQIjoiV2luMzIiLCJBTiI6Ik1haWwiLCJXVCI6Mn0%3D%7C3000%7C%7C%7C&amp;sdata=LaoPEJtGHMACbjlYNqmhEuztJiF3S3anifxqnvmWEFg%3D&amp;reserved=0" TargetMode="External"/><Relationship Id="rId157" Type="http://schemas.openxmlformats.org/officeDocument/2006/relationships/hyperlink" Target="https://na01.safelinks.protection.outlook.com/?url=https%3A%2F%2Flink.mail.beehiiv.com%2Fss%2Fc%2FAFHHY18NT0_ddKuYrElMRqQuFD3C-frH95uHYV-FZMefNow6DAqrRbJVv0bcTD2WpksbMJENIU9pm6s7JyBjxT_eedpGuJuKDUaVXtluLfS-iBAAXm-dGjH-JqXPH9CQwZNNZnpbhuwDuP1vEI8iL8cOK-Mh9A1_TTO2ZOcLbPmg3BEJ85Z2NISmirXhzo4BoQe27_dHZqJpYP2ClAmwfQ%2F43i%2FVZXkmRJsSFSMuNveIPAPOg%2Fh4%2FjAk_IFRxE0Ik0jvU2A84WnpBjIncTfIpYMwdUyROqHw&amp;data=05%7C02%7C%7C75ba92a3f6b04a2e5e2c08dc2411b13f%7C84df9e7fe9f640afb435aaaaaaaaaaaa%7C1%7C0%7C638424905646229217%7CUnknown%7CTWFpbGZsb3d8eyJWIjoiMC4wLjAwMDAiLCJQIjoiV2luMzIiLCJBTiI6Ik1haWwiLCJXVCI6Mn0%3D%7C0%7C%7C%7C&amp;sdata=bUP4skNnjo5zAKWCd7o3enEj3nH518kn0ydxQvmZb7g%3D&amp;reserved=0" TargetMode="External"/><Relationship Id="rId178" Type="http://schemas.openxmlformats.org/officeDocument/2006/relationships/hyperlink" Target="https://talknotes.io/" TargetMode="External"/><Relationship Id="rId61" Type="http://schemas.openxmlformats.org/officeDocument/2006/relationships/hyperlink" Target="https://na01.safelinks.protection.outlook.com/?url=https%3A%2F%2Flink.mail.beehiiv.com%2Fss%2Fc%2FAFHHY18NT0_ddKuYrElMRhzYGPyesZgWVNRT0sMV1v7Z4wrziAuaYv9zZ0QgAzjD8Rm6iize4pmZtYE_xRn8ZNf0oBTAtaE1ApFK1To80nJDvSV_wr-YOnj_9LhA6yxQTvrWP9kdzzEBprwl-vvEUKkR_Fj_r2ynTKCzw5bUnHIRbL4NE_zI9PGyfz1RPwFCSSOn5REFnuNiZVzQ-uXL_g%2F425%2FBAt7DEa7RBuNXTUzReGD5A%2Fh12%2FL9iKasKiliaSEmpHd57G1GnkIXpsBoWQo1PQm0EUlHU&amp;data=05%7C02%7C%7C9a9fcf3ef1f04979b0cd08dbfd90c779%7C84df9e7fe9f640afb435aaaaaaaaaaaa%7C1%7C0%7C638382570530196297%7CUnknown%7CTWFpbGZsb3d8eyJWIjoiMC4wLjAwMDAiLCJQIjoiV2luMzIiLCJBTiI6Ik1haWwiLCJXVCI6Mn0%3D%7C3000%7C%7C%7C&amp;sdata=K87DRHm36KM4R0PS9CVMRhrifXC0AqU6OaF2vcrhkyo%3D&amp;reserved=0" TargetMode="External"/><Relationship Id="rId82" Type="http://schemas.openxmlformats.org/officeDocument/2006/relationships/hyperlink" Target="https://link.mail.beehiiv.com/ss/c/AFHHY18NT0_ddKuYrElMRg_n-wMwJyonvLN3HS3nhHskoLU31UYS472whkFVCeQZHk2f9DNH9zVRUvTzLK6y0OczfJVAlmiKlqjuxfj8rhpmbTziFuO9y-7MFHK_1T5WojogKEOVTtfhjatmBv-sMkFwebiOH1hXXIw9SDacxg3jOVUKRKLihqCTt5mrVceEPVN6tRhJ4wIcW83ynxVRZg/42j/zCbDb32ySbSS13cvqNaY0w/h8/7hwqCe7idcULWFtkUQVejKJFfa7TQD9Vmk6Qo5kYIO8" TargetMode="External"/><Relationship Id="rId199" Type="http://schemas.openxmlformats.org/officeDocument/2006/relationships/hyperlink" Target="https://www.algomo.com/" TargetMode="External"/><Relationship Id="rId203" Type="http://schemas.openxmlformats.org/officeDocument/2006/relationships/hyperlink" Target="https://na01.safelinks.protection.outlook.com/?url=https%3A%2F%2Flink.mail.beehiiv.com%2Fss%2Fc%2F8Y-VoJkoDnX1zI1WLAgXF_KOD5VSOwhmS4AHLa981cj_P4WPzynJ6r1aBvikfRcyy8BjRGmvnwHdiNdy-bsIaWsukajtWpO8pwePOjwyshOqnCmPymnW3vddATxbtBLQnVV1_2YW3IkVNEBVMJFlyJFlt9_n1GVt79rFCW0U9eGQLjKrBFmoNxRSF9X5HcmK%2F424%2FBVkUGzYrTG-kh98VJPJSTw%2Fh15%2FX891dh9L-xc5zT4dXymQOU5_wRK-y76chrnxJEt3AJA&amp;data=05%7C02%7C%7Cfd3a0e0a2d644921ca6c08dbfcc76b46%7C84df9e7fe9f640afb435aaaaaaaaaaaa%7C1%7C0%7C638381705721564271%7CUnknown%7CTWFpbGZsb3d8eyJWIjoiMC4wLjAwMDAiLCJQIjoiV2luMzIiLCJBTiI6Ik1haWwiLCJXVCI6Mn0%3D%7C3000%7C%7C%7C&amp;sdata=OiLgdo1lPbTP3ar%2F7bv%2FDlVkGnC8nA6pNkp4Nx70uSc%3D&amp;reserved=0" TargetMode="External"/><Relationship Id="rId19" Type="http://schemas.openxmlformats.org/officeDocument/2006/relationships/hyperlink" Target="https://link.mail.beehiiv.com/ss/c/u001.h-kyy65arRVIYKVuZF4lquP6yFcyOjK2_VlkyrAHLXvHxCNnykzfwqafweok83zOpSFRkuTUDV7RfwV9X9umO2W-_ylWpvzWYSG5y00W-652iAvz6VpBrTjLFWbEqsjA60ohqylltM8-2u-KA2NiYmG9OO1i66mmdovjCtKWK3mDRswwfWoLWsmTu5yfN_E4qcNCEVQpE_magOsFLrPAzLj8ntPgxEVt7w0h4op6KE-IdOY3YROPYsQCWb_JjPGYFYndW5M56n2kMocwGR-cFytMOavZEPLhH9kZYWVA8I8/4f5/LOKE0V14Rq-OA8eqmaooxw/h7/h001.PyDCb2kpjJH8dBWrqMaaCpwZlChmAyRGlZrmg3VF6gA" TargetMode="External"/><Relationship Id="rId224" Type="http://schemas.openxmlformats.org/officeDocument/2006/relationships/hyperlink" Target="https://link.mail.beehiiv.com/ss/c/AFHHY18NT0_ddKuYrElMRquJXD5Yrkp6oyQ6yDVP8Nb5-sFGdLaElnBjznwl1sDf_zHZS_B5sIRbIgzmQ2kxVRhgAEp7VZkF6KRGKKKkLOVjQrLC0uxmwKzsgQ2PWd7P53ef9TRqzCq-2q5VppbRIEaxyUkmzgbaLUkoo5TSb9e6el7zJhJ9s2VprlqkMAHx/42q/5ebzjuGYTpeLqWW_4G4DIQ/h11/GJLRNHq1PN5b4IZ2mPMDW9-3VlKsEm28GYiiTlleNrc" TargetMode="External"/><Relationship Id="rId245" Type="http://schemas.openxmlformats.org/officeDocument/2006/relationships/hyperlink" Target="https://na01.safelinks.protection.outlook.com/?url=https%3A%2F%2Flink.mail.beehiiv.com%2Fss%2Fc%2F0wlcaBm-wAGbfh-p66fdvDKBIuY8CnjYepRcJ4H-MybK3EPU3JtB8qzCE1e5TCrZDXR0kOhc9VDSAs1yFr2e5HTbgX_RdINml3hY4gKoLY0X1tKVKk3X-CmRe2drdCQEI1_k2Gf8_UfUElSONKj-bXa7EBxbpr1CFecVjxWXTcoT90xC9lEktcF09BawBFOuqJ0NY9FfuN0IHdBPz6QcEyjL2mVHfTE6j-j2X-O5i0w%2F438%2FZBlGr5r-QrKKyDaAJsM9-w%2Fh7%2FExjkmsjVZO-r7Ed1AG5-P1IQ3xs9YkI-s_mw0RKBQ1w&amp;data=05%7C02%7C%7C77deb5ee2ccf4c319ccd08dc1c35f0ad%7C84df9e7fe9f640afb435aaaaaaaaaaaa%7C1%7C0%7C638416265236664230%7CUnknown%7CTWFpbGZsb3d8eyJWIjoiMC4wLjAwMDAiLCJQIjoiV2luMzIiLCJBTiI6Ik1haWwiLCJXVCI6Mn0%3D%7C3000%7C%7C%7C&amp;sdata=jyswEsUbdhf0b8fgvUcmtdPx%2BQ6lwYEKNzMTDuhNPUk%3D&amp;reserved=0" TargetMode="External"/><Relationship Id="rId266" Type="http://schemas.openxmlformats.org/officeDocument/2006/relationships/hyperlink" Target="https://www.simular.ai/" TargetMode="External"/><Relationship Id="rId287" Type="http://schemas.openxmlformats.org/officeDocument/2006/relationships/hyperlink" Target="https://www.glean.com/" TargetMode="External"/><Relationship Id="rId30" Type="http://schemas.openxmlformats.org/officeDocument/2006/relationships/hyperlink" Target="https://gemini.google.com/" TargetMode="External"/><Relationship Id="rId105" Type="http://schemas.openxmlformats.org/officeDocument/2006/relationships/hyperlink" Target="https://link.mail.beehiiv.com/ss/c/AFHHY18NT0_ddKuYrElMRnQJW-EKcCEz4ymb5fMZgFSv-UER-jzP99DkHKFZQBMPMjBgEu66r5Yeec0lG14jbuiAFL3ZLiHdfQCVUS5BI-3Ym6aJrCIUigleMknUvz3X_wyd9xcqJ38FePUNZ6LFqmHSDl-peigzfML7u1QGBDA5kYsjVnOYlp1pgvyhnBwT/42t/BW-dfpFeS66B4-Va138g3w/h11/QkX56i5QEJTHp1UGiVpfKNJpdF-oVnyRooLoJPPBnYA" TargetMode="External"/><Relationship Id="rId126" Type="http://schemas.openxmlformats.org/officeDocument/2006/relationships/hyperlink" Target="https://link.mail.beehiiv.com/ss/c/AFHHY18NT0_ddKuYrElMRtVGLL4MtLojcsV1Uoc_SlNpTBo7HDdLAE_YPXpx0tVY-RP0bzGH_oqhqQrUXWrtxRhnE0b07_T9E28Mr3I6IKFPn4DeJNijeBSuwt8JaeFYsMziUL0f_SU82V9H5qD_N7DtwHpPkup2X-RBp5YfoGI/432/uYDT4K0OT3-IxStQIaXqyA/h11/hQP9PaIzEGn0tEnXtd6x5CbueappVRiVADsEEH6JKVE" TargetMode="External"/><Relationship Id="rId147" Type="http://schemas.openxmlformats.org/officeDocument/2006/relationships/hyperlink" Target="https://na01.safelinks.protection.outlook.com/?url=https%3A%2F%2Flink.mail.beehiiv.com%2Fss%2Fc%2FAFHHY18NT0_ddKuYrElMRvA7BAVybg5AyhykgzBaQc4SUh7V4wLHT7aecyyLzSnlYUMTtqt6GF2Qbn6FatC2gPbkfcJZvBKMvbw8DdHXRQdoRoMV31vzl-_uPWLrhYyG8Js1LuJ9f51FF_XfUUkPTUaJxOWbCplvM4X_NeJJlQkTEERUfoJd9bC-vaihXvNCIl8KWZF-g7qbrDw2D-QaYYeT98VQDF9Q0hXiWoWF3yU%2F43f%2F0r2Q4BaqRmmQYVN_S21GIA%2Fh11%2FVxbZr1jpFcIWe7xpCeGSgUM1moQct8Eoc_4HLENbwH0&amp;data=05%7C02%7C%7C6d9e3a4340a14913bf8108dc21c991b9%7C84df9e7fe9f640afb435aaaaaaaaaaaa%7C1%7C0%7C638422396844158923%7CUnknown%7CTWFpbGZsb3d8eyJWIjoiMC4wLjAwMDAiLCJQIjoiV2luMzIiLCJBTiI6Ik1haWwiLCJXVCI6Mn0%3D%7C0%7C%7C%7C&amp;sdata=NuoPqb%2FmiW66VVusToyWMJE3jGxmOwN5GXrvN5cTLOM%3D&amp;reserved=0" TargetMode="External"/><Relationship Id="rId168" Type="http://schemas.openxmlformats.org/officeDocument/2006/relationships/hyperlink" Target="https://na01.safelinks.protection.outlook.com/?url=https%3A%2F%2F31634813.bhclick.com%2Fss%2Fc%2Fz0X5DY489zjmVLlFQopoHc30P4ygMlB8S2tLtQysBQdc1fWj7DF76hD_LXxaUEgz-Emj1R44bU-j6ci0VPjDErw9PVuRRML6OK-6dJ2FU9A6722Z-46eLzCNfE3y__kJFuQbMC4Iuf_5Fc6z1OUX6I74MKYAFkLZWzb8O8P_o1Q5qahoO6lOQq_lmfp4BNBlxGlGOY2PGCWq8pfSHTUUqQ%2F43o%2FTYbM0llAQ9i5NV5nw08yTw%2Fh10%2FmJ7jaHVsj77oGdG9ISs2mj6TveigqKxrhMAXsqyk8e8&amp;data=05%7C02%7C%7C9033785e649243c4dfaa08dc28c8a6bc%7C84df9e7fe9f640afb435aaaaaaaaaaaa%7C1%7C0%7C638430089486086934%7CUnknown%7CTWFpbGZsb3d8eyJWIjoiMC4wLjAwMDAiLCJQIjoiV2luMzIiLCJBTiI6Ik1haWwiLCJXVCI6Mn0%3D%7C0%7C%7C%7C&amp;sdata=Psw4xI4yTVkT658ud2rT7gPeOzNC6ceRU9qFdaXsezU%3D&amp;reserved=0" TargetMode="External"/><Relationship Id="rId51" Type="http://schemas.openxmlformats.org/officeDocument/2006/relationships/hyperlink" Target="https://www.surveymonkey.com/" TargetMode="External"/><Relationship Id="rId72" Type="http://schemas.openxmlformats.org/officeDocument/2006/relationships/hyperlink" Target="https://na01.safelinks.protection.outlook.com/?url=https%3A%2F%2Flink.mail.beehiiv.com%2Fss%2Fc%2FAFHHY18NT0_ddKuYrElMRtI00OhznQyO9omeD1h5CimkEBgFxHaysmDZUVIV-TNL31En0qWuSSOOii166EzicuKYlOULb6ZSXzdF7fkCJOLiKbCRNb6S1ebp-bYwaTVv7cewCTa6IJrGfZgNcku5jLDKPpAkpiYrmCJPHDdhIbSdr16p9Bn6_6yfG1zi_KKF%2F42c%2F_WBLUzqHQW2DWE7sPqeatg%2Fh19%2FI7R6K8TCgUR2KdDAAYWCQcOwYeWosJRLtYnLgv5eqvs&amp;data=05%7C02%7C%7C3895aa4839e94f9ef30208dc03111ceb%7C84df9e7fe9f640afb435aaaaaaaaaaaa%7C1%7C0%7C638388619287900547%7CUnknown%7CTWFpbGZsb3d8eyJWIjoiMC4wLjAwMDAiLCJQIjoiV2luMzIiLCJBTiI6Ik1haWwiLCJXVCI6Mn0%3D%7C3000%7C%7C%7C&amp;sdata=tca27GK1CI1ohvjJAWKLnXzCMg9aPqHwzXIH42f4BeQ%3D&amp;reserved=0" TargetMode="External"/><Relationship Id="rId93" Type="http://schemas.openxmlformats.org/officeDocument/2006/relationships/hyperlink" Target="https://link.mail.beehiiv.com/ss/c/AFHHY18NT0_ddKuYrElMRjbJA4UrIzetoPRYnEVe-exHRKFCwaxzSyd7EpQiK8tmmfXA_R7_9nCssC_a0_uCHYJHALO0FLthUw-ocDPBhqQlpesEedaUsxIgK-LhKDyt0LPD-MMx-ySuDsamu_weSNdnwkf4j9BPNPwuJMruyD72AnvJlZpNt6URvHAikKREmM70UfH9-glGSuzrRC1Rs_w6-at3JLuJ1qDCl101tI4/42p/JkpIHFtGTxqXEK5AwNbd_Q/h19/Miqv4damPHKW_lSUdu_rQcfxRkcrp0EsdnmqyI5YavE" TargetMode="External"/><Relationship Id="rId189" Type="http://schemas.openxmlformats.org/officeDocument/2006/relationships/hyperlink" Target="https://macky.ai/" TargetMode="External"/><Relationship Id="rId3" Type="http://schemas.openxmlformats.org/officeDocument/2006/relationships/hyperlink" Target="https://crmcopilot.co/" TargetMode="External"/><Relationship Id="rId214" Type="http://schemas.openxmlformats.org/officeDocument/2006/relationships/hyperlink" Target="https://link.mail.beehiiv.com/ss/c/kTklpAxml3EW3RaiF8_gQo1traclj0rerTN1GGQgHToh6onQWkfDzAfbLpvApOP4G-JxFSzSSY66hBJ5VmMf3LbQ_HrSnnaCy9kiaODN4HcDlD-UzAyyv_EkuYM3VHD35ZBvywlDeYrkhHfKfZ9swyFotfIYJB_rpeivsOknFqvRgrXfDsZVxulqVAKqYd11Hn0SjN30WceLs66-r-PNmfihjMUEu74aRvArxBtjyf_ckPWyc84jg28c5OS5ndah/42i/j5yR117ZR1WBEiOGjECApA/h13/2Ljyv2BXV_sr-oN-ZljbTikyBemBxLobI7QWGn1lD-c" TargetMode="External"/><Relationship Id="rId235" Type="http://schemas.openxmlformats.org/officeDocument/2006/relationships/hyperlink" Target="https://link.mail.beehiiv.com/ss/c/AFHHY18NT0_ddKuYrElMRrUIsiuCHZ13uTl887Vz8bz5H7q-aYrOg374wdV37plbWygEDnhhpo-kdW5grRUWfa-m_xiQc-ZoxU6EwsUBdYRSpqAg6zbgl1iMHM9Wy76rGl1c759lhrpHgkEfzo2_-k8Xnzx00QOYSe3hkvaqF-mAslTSZxN9-T68KZ5s0Xt5/430/QYqyBXEUQLScFHRqIGvV6A/h16/TpUFxzg9vy_vmQJYnPJRnG854_Ssi0jxnzT9mSqmkE8" TargetMode="External"/><Relationship Id="rId256" Type="http://schemas.openxmlformats.org/officeDocument/2006/relationships/hyperlink" Target="https://na01.safelinks.protection.outlook.com/?url=https%3A%2F%2Flink.mail.beehiiv.com%2Fss%2Fc%2FAFHHY18NT0_ddKuYrElMRtF2wWuCzIUzeTYi1WziHqJF1R238DVdpw6KkF-4p6hHXqA8puGcTg5K0cNqjjJO-5g0iPpDcgt5OUOZSCXS_iP9ri1FyPmMZ4LJhgWFCXYg8khLUGwBImGOw5DZzx93hb3cx5Yqu81GH5WxhJMqzJJOPgVuuB61miPhr4ukCq3EDmzOBquh0k3q3gClfrhG1w%2F43n%2FiO-pL6SiSOqAXUwE07J6jg%2Fh10%2F8AzNtabPCdARQlHHADj_VnhJyiiE3org6FRHS6MKAr0&amp;data=05%7C02%7C%7Ccf9a69073011423d7bb908dc280386ca%7C84df9e7fe9f640afb435aaaaaaaaaaaa%7C1%7C0%7C638429242852214768%7CUnknown%7CTWFpbGZsb3d8eyJWIjoiMC4wLjAwMDAiLCJQIjoiV2luMzIiLCJBTiI6Ik1haWwiLCJXVCI6Mn0%3D%7C0%7C%7C%7C&amp;sdata=GXWpH0SanZt071E1A0seNbYO3dHSW2l4PIzecnuhysA%3D&amp;reserved=0" TargetMode="External"/><Relationship Id="rId277" Type="http://schemas.openxmlformats.org/officeDocument/2006/relationships/hyperlink" Target="https://www.glean.com/" TargetMode="External"/><Relationship Id="rId116" Type="http://schemas.openxmlformats.org/officeDocument/2006/relationships/hyperlink" Target="https://link.mail.beehiiv.com/ss/c/AFHHY18NT0_ddKuYrElMRk4-a43yISBaMrrlZgye0czdhJfRjqMO9_LrGiL7kjH0YiJWyhKF3v08EEuEqqxszNlHSq1IRQtSNtLqHT7gcm9eiN--QStFXw6ysPruhQ5jnb_TveEXvfB4d-AlcqlAtGi5rRJK__x7uzmm34TzZxQj291jHycvPmSWRpHSTRxY/42w/f1oAezbGRg-h6mWpOtN6Kg/h9/Lj9Qk_ySs6KFHi1Nq2U7ZCzPbz-CVIvf583WfDYiU_I" TargetMode="External"/><Relationship Id="rId137" Type="http://schemas.openxmlformats.org/officeDocument/2006/relationships/hyperlink" Target="https://na01.safelinks.protection.outlook.com/?url=https%3A%2F%2Flink.mail.beehiiv.com%2Fss%2Fc%2FAFHHY18NT0_ddKuYrElMRsXjT-AQ0Yd_ANju3k8djJDiEdtvSvuydVP079QcyquQw68NfiZUmykYt8N2k7WFtl3DqUvGOt5OWBygaacfd3P1eHNayjy5s6C_SpS9PCXVDOIIjhkMmkMa076gYp4fuvF-3nJOqfZJYACzgHqGaF7h1bEv4ofXnTKPJ2ME3-VT%2F439%2F7NNvPY5YTHue3LuSHhrglA%2Fh8%2Fvrnejql9Kt-LPPGyA3_ljLne4fqm3zOJ_owHSzrR480&amp;data=05%7C02%7C%7C52be88a3112842a8554d08dc1d004951%7C84df9e7fe9f640afb435aaaaaaaaaaaa%7C1%7C0%7C638417134291867849%7CUnknown%7CTWFpbGZsb3d8eyJWIjoiMC4wLjAwMDAiLCJQIjoiV2luMzIiLCJBTiI6Ik1haWwiLCJXVCI6Mn0%3D%7C3000%7C%7C%7C&amp;sdata=B8Y8dyYPWVxrqZwCIVX4uDAie64JTq8rJ8nfUcXFQbs%3D&amp;reserved=0" TargetMode="External"/><Relationship Id="rId158" Type="http://schemas.openxmlformats.org/officeDocument/2006/relationships/hyperlink" Target="https://na01.safelinks.protection.outlook.com/?url=https%3A%2F%2Flink.mail.beehiiv.com%2Fss%2Fc%2FAFHHY18NT0_ddKuYrElMRrg-gdmAyd5wfTRtRhkrNz-W-6GK8rBnKNkP7BLd6t6ge3qxvPdMN_bZTW65k78rw3V4ysOzyzR0VQ7JoUS1YqNkWFnuDPa53wxaMZiK_6hAh3m1ZaBPp8GET1BzmIWSkffWpaKT4eJgZGfpIVuoxHASTlr0PWb9iCkF7F7Soszas0Z8AyTWpmEJ-B3a6hZD0g%2F43i%2FVZXkmRJsSFSMuNveIPAPOg%2Fh3%2Fju_Kgi5Ath2E2EowePj3PVOwwmF_Zy5CHdYi-1vPw-A&amp;data=05%7C02%7C%7C75ba92a3f6b04a2e5e2c08dc2411b13f%7C84df9e7fe9f640afb435aaaaaaaaaaaa%7C1%7C0%7C638424905646214946%7CUnknown%7CTWFpbGZsb3d8eyJWIjoiMC4wLjAwMDAiLCJQIjoiV2luMzIiLCJBTiI6Ik1haWwiLCJXVCI6Mn0%3D%7C0%7C%7C%7C&amp;sdata=Q7r07ysHQJSzWkKkbJm5MBx55IXxmVBOeymHUerWt4I%3D&amp;reserved=0" TargetMode="External"/><Relationship Id="rId20" Type="http://schemas.openxmlformats.org/officeDocument/2006/relationships/hyperlink" Target="https://chat.mistral.ai/chat" TargetMode="External"/><Relationship Id="rId41" Type="http://schemas.openxmlformats.org/officeDocument/2006/relationships/hyperlink" Target="https://www.eververse.ai/" TargetMode="External"/><Relationship Id="rId62" Type="http://schemas.openxmlformats.org/officeDocument/2006/relationships/hyperlink" Target="https://na01.safelinks.protection.outlook.com/?url=https%3A%2F%2Flink.mail.beehiiv.com%2Fss%2Fc%2F8iXKAwwMM1W-cI7L7LOvGlcp3Sb4Z0vYQYId4ohf5IYElgTeO02TlBmyUVIjnQd-XmyzF78F-t-OEvR5Z-BFM6AeE0mR7XgSY5vdpKBqJtKoQ90iPYrwCPoIaTjmZkVWAYYLSaN7c3MpS6-lFkHENb24dC-pZl0_sRv0HB12YNx3i0nRyxyvBk8V33kQLmta%2F428%2FXDkX1EU2RguIZ3sW5zoTXg%2Fh22%2FyNzPdCLCutefiHcfilaBAy1mMzemODQB6ovNHUEdPCk&amp;data=05%7C02%7C%7C131e8d403b6f42fc230808dbfff04d7d%7C84df9e7fe9f640afb435aaaaaaaaaaaa%7C1%7C0%7C638385179834820604%7CUnknown%7CTWFpbGZsb3d8eyJWIjoiMC4wLjAwMDAiLCJQIjoiV2luMzIiLCJBTiI6Ik1haWwiLCJXVCI6Mn0%3D%7C3000%7C%7C%7C&amp;sdata=tSaJ6yYmQy63MjRLEpRBQeMlv2LXvPZC0ezPp61sa9A%3D&amp;reserved=0" TargetMode="External"/><Relationship Id="rId83" Type="http://schemas.openxmlformats.org/officeDocument/2006/relationships/hyperlink" Target="https://nuelink.com/" TargetMode="External"/><Relationship Id="rId179" Type="http://schemas.openxmlformats.org/officeDocument/2006/relationships/hyperlink" Target="https://www.chatbase.co/pricing" TargetMode="External"/><Relationship Id="rId190" Type="http://schemas.openxmlformats.org/officeDocument/2006/relationships/hyperlink" Target="https://buzzabout.ai/" TargetMode="External"/><Relationship Id="rId204" Type="http://schemas.openxmlformats.org/officeDocument/2006/relationships/hyperlink" Target="https://na01.safelinks.protection.outlook.com/?url=https%3A%2F%2Flink.mail.beehiiv.com%2Fss%2Fc%2FAFHHY18NT0_ddKuYrElMRu1mM61JyYHmDwISLt1_boqDP0feY1wfKIbdxB64KedpQQ-U1wXug_G8DssvdkKdmbH_V9KgbWSTWW5EBuhkGDshCOW4sObvEGEo3VWGJ4BqwIHumjhy-eEldRP9m6IAxP0Q4zVD0svr0cM9miK_IT_8kUqqfgloFPmuimGsBDTXk0kuxtEetMaEMbLuZWT4gA%2F425%2FBAt7DEa7RBuNXTUzReGD5A%2Fh17%2F_BnEVcAtYArGenqcRkA8yZ70YM7694aMUIY_8-TP8Dc&amp;data=05%7C02%7C%7C9a9fcf3ef1f04979b0cd08dbfd90c779%7C84df9e7fe9f640afb435aaaaaaaaaaaa%7C1%7C0%7C638382570530352505%7CUnknown%7CTWFpbGZsb3d8eyJWIjoiMC4wLjAwMDAiLCJQIjoiV2luMzIiLCJBTiI6Ik1haWwiLCJXVCI6Mn0%3D%7C3000%7C%7C%7C&amp;sdata=gH2QT%2Bc3hDYBwgzQ9xSAR9TFZXambtGXlvOsKrKRrQI%3D&amp;reserved=0" TargetMode="External"/><Relationship Id="rId225" Type="http://schemas.openxmlformats.org/officeDocument/2006/relationships/hyperlink" Target="https://link.mail.beehiiv.com/ss/c/z0X5DY489zjmVLlFQopoHSK8BpMreXDqmrQEkYNeP0QCTh5dSy-AVN5mdIe7LEgisBITB0o7DlTlSb8cqFGEEkpen5BnnJR5hUISwvp0b3vhKPTiI5XY9PnJwVGWTDWQcmXR80fkMCKh1x83P6RHuyEcndTm_3JYWJYWCgFpo1k/42q/5ebzjuGYTpeLqWW_4G4DIQ/h9/VikmTc4CTO4Wi-W1QcoYd6aPkXBe6OWTdQS3bVsFTS0" TargetMode="External"/><Relationship Id="rId246" Type="http://schemas.openxmlformats.org/officeDocument/2006/relationships/hyperlink" Target="https://na01.safelinks.protection.outlook.com/?url=https%3A%2F%2Flink.mail.beehiiv.com%2Fss%2Fc%2FAFHHY18NT0_ddKuYrElMRrox_2iSPZPcSBD35rhAskh4L91CnyPUG6MWJ1wcfsv242t0KzACrpCXDzyYhq2omUuQim8HceicljYOD2ti1aIPx-AtTmAEcew_crJKswx99ATCeR4GCgGakpNd30M5FH1aTR7Pgdz3DWWF15CfYPCFl25dOLbf07TO9BC6O1XKaOkB1pOFhD_IHrOayV-0UJGyYNZdxTMZjdc6XLYfQ_8%2F438%2FZBlGr5r-QrKKyDaAJsM9-w%2Fh6%2FZj-62_In0dsSw14YwWrZEUeLSakU0G83hc0GuS0vpW4&amp;data=05%7C02%7C%7C77deb5ee2ccf4c319ccd08dc1c35f0ad%7C84df9e7fe9f640afb435aaaaaaaaaaaa%7C1%7C0%7C638416265236649678%7CUnknown%7CTWFpbGZsb3d8eyJWIjoiMC4wLjAwMDAiLCJQIjoiV2luMzIiLCJBTiI6Ik1haWwiLCJXVCI6Mn0%3D%7C3000%7C%7C%7C&amp;sdata=nTV3ZIJOJQULYthfHpUKNQl4henppfDTcNgYGK9DShM%3D&amp;reserved=0" TargetMode="External"/><Relationship Id="rId267" Type="http://schemas.openxmlformats.org/officeDocument/2006/relationships/hyperlink" Target="https://www.vooma.com/solutions/cover" TargetMode="External"/><Relationship Id="rId288" Type="http://schemas.openxmlformats.org/officeDocument/2006/relationships/hyperlink" Target="https://heylemon.ai/" TargetMode="External"/><Relationship Id="rId106" Type="http://schemas.openxmlformats.org/officeDocument/2006/relationships/hyperlink" Target="https://link.mail.beehiiv.com/ss/c/UuCNtwnEAMcjpu9jaML3rFj1HHxgG_k45J4VWQwTjIvlgarH9bFsDGq6rFse4sqCGDCsV922A-iDRwrSyPC4Tx0l8kKb2fufDKuprxlAu8YQcBn1zM6PeTtc7zCAqXSp-GyiUvyf6nRQ8R6c1qAO-gNXhFQ3YlQoN8AQB2xralA/42t/BW-dfpFeS66B4-Va138g3w/h10/FwA2S5isSvjUOA9gWYnfpW343muj1_WflWbYKKlwTws" TargetMode="External"/><Relationship Id="rId127" Type="http://schemas.openxmlformats.org/officeDocument/2006/relationships/hyperlink" Target="https://link.mail.beehiiv.com/ss/c/i142ipyW89EI2-TL2DD4FKXU3k2KSbfTiEgQILRZop64RcImloRlXwCHCVq8nZpnqTxpq7DhcTRld-cITnoJRJJm66QWW99iq-xXeje0gqxHm8NPQvFhYm0ixapul2kqAM97NwQOYwPd8Im3SBZ7dYTv_NDeHpzFKRaxkMWPXWA/432/uYDT4K0OT3-IxStQIaXqyA/h9/tNEeQeV_T7DpYCHjecN2Sgfug_5JWNt0vmlKJexehyU" TargetMode="External"/><Relationship Id="rId10" Type="http://schemas.openxmlformats.org/officeDocument/2006/relationships/hyperlink" Target="https://na01.safelinks.protection.outlook.com/?url=https%3A%2F%2Flink.mail.beehiiv.com%2Fss%2Fc%2Fu001.QR8PDET7GVRZS9oWC_jpgEt6UasValh_lKU5tDjYacivFq3LEW6deh2nm_jnnZD-8-ss9MoOVskp1FCAmnat_QSWoVRxWiLvhxupUfyx4XsgWFCsSNYOxQ_CLhr6DPMcVFg9Sy295NfRlNmwWAeWdS7wKh18dtXx1yON0lenfAc%2F464%2F8aybwsSUQzaKBqm4ZDYepg%2Fh10%2Fh001.YV9M27cGOUhGBTupTiB_KVCxZ5Q6IhwCicIXQR1pIQI&amp;data=05%7C02%7C%7C353cd9ffb0d1480b83b608dc6dce0cff%7C84df9e7fe9f640afb435aaaaaaaaaaaa%7C1%7C0%7C638505979014156919%7CUnknown%7CTWFpbGZsb3d8eyJWIjoiMC4wLjAwMDAiLCJQIjoiV2luMzIiLCJBTiI6Ik1haWwiLCJXVCI6Mn0%3D%7C0%7C%7C%7C&amp;sdata=mLj%2FLi%2FpzX1gjrdOQzM501MX5L6M1mnuj5%2F2k07F0PE%3D&amp;reserved=0" TargetMode="External"/><Relationship Id="rId31" Type="http://schemas.openxmlformats.org/officeDocument/2006/relationships/hyperlink" Target="https://playground.liquid.ai/" TargetMode="External"/><Relationship Id="rId52" Type="http://schemas.openxmlformats.org/officeDocument/2006/relationships/hyperlink" Target="https://web.survicate.com/app" TargetMode="External"/><Relationship Id="rId73" Type="http://schemas.openxmlformats.org/officeDocument/2006/relationships/hyperlink" Target="https://na01.safelinks.protection.outlook.com/?url=https%3A%2F%2Flink.mail.beehiiv.com%2Fss%2Fc%2FjMFTGBN48XY1wUMNWd3dQGyHNhMMSXsNBagoKyz8Ag_fDqKIEWPR1vBGQkxc9waVuHePCPCGFHu1p8zN0O-Tzbfl14lnbtYClxrOecCWFTCKYjMKrFnb81gpCG6VeiVVXmYcyDIS8MuXZF-Wlx8-X0hdjsHFp_tUKZC3Gn3JT7NWFcdMbwZ57HdrNUu-L-Zz%2F42c%2F_WBLUzqHQW2DWE7sPqeatg%2Fh18%2FbsH-W8SAEkPbLirhm90bEluh4RfHyNMksXQn2HXOGQM&amp;data=05%7C02%7C%7C3895aa4839e94f9ef30208dc03111ceb%7C84df9e7fe9f640afb435aaaaaaaaaaaa%7C1%7C0%7C638388619287900547%7CUnknown%7CTWFpbGZsb3d8eyJWIjoiMC4wLjAwMDAiLCJQIjoiV2luMzIiLCJBTiI6Ik1haWwiLCJXVCI6Mn0%3D%7C3000%7C%7C%7C&amp;sdata=jnXlR4EwsraD8%2BDtYQEcpbO2n%2F189BTApHBRk4VqliQ%3D&amp;reserved=0" TargetMode="External"/><Relationship Id="rId94" Type="http://schemas.openxmlformats.org/officeDocument/2006/relationships/hyperlink" Target="https://fireflies.ai/" TargetMode="External"/><Relationship Id="rId148" Type="http://schemas.openxmlformats.org/officeDocument/2006/relationships/hyperlink" Target="https://www.artisan.co/" TargetMode="External"/><Relationship Id="rId169" Type="http://schemas.openxmlformats.org/officeDocument/2006/relationships/hyperlink" Target="https://na01.safelinks.protection.outlook.com/?url=https%3A%2F%2F31634813.bhclick.com%2Fss%2Fc%2FAFHHY18NT0_ddKuYrElMRn7n-0I_t-O-9CAYkEKgnYsOmAd9C0ghXOTbKD5zt7YdMl2IJCNjDQ1v-xP0MUFjmPTzPJpl6nYbQCj3YhPfIE4s39YUEDnz8tf9ag7judPI_ujxyP7Uk4HajkSmEP3nSgEurdQXulpf9CmbmiOkA4S1wAXbb9GyOJBhA8OmWeky8Mr7EZzzKbE1nwZB1Cd57g%2F43o%2FTYbM0llAQ9i5NV5nw08yTw%2Fh9%2FOP01A7WPQXtW7bxReB6K05R0mLMsjlYO7FSi1lKtyrY&amp;data=05%7C02%7C%7C9033785e649243c4dfaa08dc28c8a6bc%7C84df9e7fe9f640afb435aaaaaaaaaaaa%7C1%7C0%7C638430089486074960%7CUnknown%7CTWFpbGZsb3d8eyJWIjoiMC4wLjAwMDAiLCJQIjoiV2luMzIiLCJBTiI6Ik1haWwiLCJXVCI6Mn0%3D%7C0%7C%7C%7C&amp;sdata=pcq9gHxdZ0xYaa%2FT9W0RJQ%2B3iFq64o4sHU7%2BQ63NjUA%3D&amp;reserved=0" TargetMode="External"/><Relationship Id="rId4" Type="http://schemas.openxmlformats.org/officeDocument/2006/relationships/hyperlink" Target="https://www.orchids.app/" TargetMode="External"/><Relationship Id="rId180" Type="http://schemas.openxmlformats.org/officeDocument/2006/relationships/hyperlink" Target="https://www.chatshape.com/" TargetMode="External"/><Relationship Id="rId215" Type="http://schemas.openxmlformats.org/officeDocument/2006/relationships/hyperlink" Target="https://link.mail.beehiiv.com/ss/c/AFHHY18NT0_ddKuYrElMRshJvtRpySVckI6L020m7U5x6iti2djVotoNfbdMEcNtVT0VcV9yviqXz0pSuE1xZP-tjTKpIkJQKpLHxVZh22HLolufNR2ll8ZgCLu3QTUtVD-r3wx_f__k2bxt5W6xGhJrQVJoxU-b67JxdDZhFAwwGxHG0YKe4uDFmRRboksGOQH4OHmAaLtt65OdKMWiKka02AS9JEPnDclf45APY0xbyNfQYl_ZLk11TCfV-ecW/42i/j5yR117ZR1WBEiOGjECApA/h12/xF2N2JacZezpBxFvWaRBRGaaxg9fIBd9hkDhEGkBRf8" TargetMode="External"/><Relationship Id="rId236" Type="http://schemas.openxmlformats.org/officeDocument/2006/relationships/hyperlink" Target="https://link.mail.beehiiv.com/ss/c/oPK9TvOEo1ZeXdOJwVOhaR6saoSHFpOB1gozs77ItUL8kKq_5LTCA1SJZ5fuG54Mt9L121voFcYJsH_jvWtt3l36V_yQiw3ZxEIGKYG888zBvp0AeDQvPmdp8tGkouGpl1KTi01GtERkZrVYcpMgDXBSf9IVr3NmITPo34C8We8AdzT8s29YXWAyy2KyJvnb/430/QYqyBXEUQLScFHRqIGvV6A/h15/xk-lqHJv9Cg6k1Uhw0QRZDfx9nfiRI3LctxrdM_YEVQ" TargetMode="External"/><Relationship Id="rId257" Type="http://schemas.openxmlformats.org/officeDocument/2006/relationships/hyperlink" Target="https://na01.safelinks.protection.outlook.com/?url=https%3A%2F%2Flink.mail.beehiiv.com%2Fss%2Fc%2FAFHHY18NT0_ddKuYrElMRmrcnMgb38BJfRKojett7yoytuQzewiutW615-PLCzFlmeCHyVaju_hHJFfoNywycXfhBkaB-FVDwyFwsDhM7IFi5ilnnfkUoEZJ8qtYT7-wHB5kRi6CRDNWrPOn6BsIKuKKZ6kEmwpLdoJrUU3ZXQsx6BkCmgotmY3k_YiW4VgTtqSt5vFccc2AweoN3XcEsIqnodTZXU8BMxEBGVTEPMU%2F43n%2FiO-pL6SiSOqAXUwE07J6jg%2Fh9%2Fdw-NsTVcNgMB7Fck7dvtRa6rj0oR9ggHPzGB57ihfNs&amp;data=05%7C02%7C%7Ccf9a69073011423d7bb908dc280386ca%7C84df9e7fe9f640afb435aaaaaaaaaaaa%7C1%7C0%7C638429242852204235%7CUnknown%7CTWFpbGZsb3d8eyJWIjoiMC4wLjAwMDAiLCJQIjoiV2luMzIiLCJBTiI6Ik1haWwiLCJXVCI6Mn0%3D%7C0%7C%7C%7C&amp;sdata=ab1uTdgHqsAS71OWDMax8MXUL%2FrYnJwB4b8e%2Bx5kKss%3D&amp;reserved=0" TargetMode="External"/><Relationship Id="rId278" Type="http://schemas.openxmlformats.org/officeDocument/2006/relationships/hyperlink" Target="https://rows.com/" TargetMode="External"/><Relationship Id="rId42" Type="http://schemas.openxmlformats.org/officeDocument/2006/relationships/hyperlink" Target="https://chat.deepseek.com/a" TargetMode="External"/><Relationship Id="rId84" Type="http://schemas.openxmlformats.org/officeDocument/2006/relationships/hyperlink" Target="https://link.mail.beehiiv.com/ss/c/8Y-VoJkoDnX1zI1WLAgXF0gvM7ALbHzXsZPbo5IwBn3Dxq2-GRW0JMpOxL5CCb7qbE1QdA4pHGKoQO_VatJNdZ45R_v2LojCynzap4dntMm-5IajaLzhYJ2YYuJ5V0-flZU2b2iFJCWotd6z8qlDb1Myy8NuhH0P3An1JGbBKbyPEZ-nzM8fq2_goYlIPuJN/42j/zCbDb32ySbSS13cvqNaY0w/h5/PBKo3WxQCrZSXz-i1vmXjMJP2K30H1h3As4G_0gdJ8g" TargetMode="External"/><Relationship Id="rId138" Type="http://schemas.openxmlformats.org/officeDocument/2006/relationships/hyperlink" Target="https://na01.safelinks.protection.outlook.com/?url=https%3A%2F%2Flink.mail.beehiiv.com%2Fss%2Fc%2Fz0X5DY489zjmVLlFQopoHe88qq3U0oDsIB3enXZ2kbFEDWTWrVsCgD9cWP_yUV4akBkNwTRsGK8bsrYW6jqaZmQrh5kfuvgLcOUOMpBqk8UPDZXQPVyjEetpYGicNUajb7YAULf60GQDpgKUIz2pHesc-uGtVacNCBNWDjGE52o%2F439%2F7NNvPY5YTHue3LuSHhrglA%2Fh7%2FI7tXa7Dc1S5XaL1gKqkft5JTDATj8B8wUESWeuHtpzY&amp;data=05%7C02%7C%7C52be88a3112842a8554d08dc1d004951%7C84df9e7fe9f640afb435aaaaaaaaaaaa%7C1%7C0%7C638417134291853874%7CUnknown%7CTWFpbGZsb3d8eyJWIjoiMC4wLjAwMDAiLCJQIjoiV2luMzIiLCJBTiI6Ik1haWwiLCJXVCI6Mn0%3D%7C3000%7C%7C%7C&amp;sdata=BR5Fn1WBmVG7YpTUP0A33dLUlplNPM2k4dUaxoAfBEI%3D&amp;reserved=0" TargetMode="External"/><Relationship Id="rId191" Type="http://schemas.openxmlformats.org/officeDocument/2006/relationships/hyperlink" Target="https://dubble.so/" TargetMode="External"/><Relationship Id="rId205" Type="http://schemas.openxmlformats.org/officeDocument/2006/relationships/hyperlink" Target="https://na01.safelinks.protection.outlook.com/?url=https%3A%2F%2Flink.mail.beehiiv.com%2Fss%2Fc%2FAFHHY18NT0_ddKuYrElMRnfH6BtS_Ry27Qz3s-fdKyd6N2Dhqy8PkZJnHQCjzAwHaNd59NrZLyIkvpcCxsH8M5YRF3RBsw5IB30G25-HtCiK3gdNCwpSwwTNz8RmC7x8lnj1R-vH5uThraL0WD0rMCH80u3vVELUODUfzyvkCUrtnGEuGGX0GHLCP0rKvxZs90-SfNwZ1_d0ifhoaSaMKQ%2F425%2FBAt7DEa7RBuNXTUzReGD5A%2Fh16%2FfItVy1tnloC2pLOXfXPnuqhO_I8sBDYbuj0BFwiVpIw&amp;data=05%7C02%7C%7C9a9fcf3ef1f04979b0cd08dbfd90c779%7C84df9e7fe9f640afb435aaaaaaaaaaaa%7C1%7C0%7C638382570530352505%7CUnknown%7CTWFpbGZsb3d8eyJWIjoiMC4wLjAwMDAiLCJQIjoiV2luMzIiLCJBTiI6Ik1haWwiLCJXVCI6Mn0%3D%7C3000%7C%7C%7C&amp;sdata=OCelr%2BUORY56zVK3VpDs64P8V4QHxkgVxpA1GmmKFQE%3D&amp;reserved=0" TargetMode="External"/><Relationship Id="rId247" Type="http://schemas.openxmlformats.org/officeDocument/2006/relationships/hyperlink" Target="https://na01.safelinks.protection.outlook.com/?url=https%3A%2F%2Flink.mail.beehiiv.com%2Fss%2Fc%2Fz0X5DY489zjmVLlFQopoHe88qq3U0oDsIB3enXZ2kbFEDWTWrVsCgD9cWP_yUV4akBkNwTRsGK8bsrYW6jqaZmQrh5kfuvgLcOUOMpBqk8UPDZXQPVyjEetpYGicNUajb7YAULf60GQDpgKUIz2pHesc-uGtVacNCBNWDjGE52o%2F439%2F7NNvPY5YTHue3LuSHhrglA%2Fh7%2FI7tXa7Dc1S5XaL1gKqkft5JTDATj8B8wUESWeuHtpzY&amp;data=05%7C02%7C%7C52be88a3112842a8554d08dc1d004951%7C84df9e7fe9f640afb435aaaaaaaaaaaa%7C1%7C0%7C638417134291853874%7CUnknown%7CTWFpbGZsb3d8eyJWIjoiMC4wLjAwMDAiLCJQIjoiV2luMzIiLCJBTiI6Ik1haWwiLCJXVCI6Mn0%3D%7C3000%7C%7C%7C&amp;sdata=BR5Fn1WBmVG7YpTUP0A33dLUlplNPM2k4dUaxoAfBEI%3D&amp;reserved=0" TargetMode="External"/><Relationship Id="rId107" Type="http://schemas.openxmlformats.org/officeDocument/2006/relationships/hyperlink" Target="https://link.mail.beehiiv.com/ss/c/jMFTGBN48XY1wUMNWd3dQIGvCnEwv95HnQRQghQ1MTvRjL5rlztNB7JJeFRmfbNBkr8Z6srldKAg8cR7L3xypZL_g2ktaI1wP9RAzQpF0kgYtVBVSnJWnAno3wfn2OKKdWrT-Y825xFPz6bl2k4ISYgHx8XRV_dxCtmh9r-KSWXO7Z49ua1ppmn0vt4mWak2/42u/7ijIU-6iRHWmiXPyYZP5TQ/h15/j_mK7tHeP2cv2L7Nl2JiGhOi9r70a6UKMrkB7XpYjmQ" TargetMode="External"/><Relationship Id="rId289" Type="http://schemas.openxmlformats.org/officeDocument/2006/relationships/hyperlink" Target="https://gptforwork.com/" TargetMode="External"/><Relationship Id="rId11" Type="http://schemas.openxmlformats.org/officeDocument/2006/relationships/hyperlink" Target="https://graphy.app/" TargetMode="External"/><Relationship Id="rId53" Type="http://schemas.openxmlformats.org/officeDocument/2006/relationships/hyperlink" Target="https://www.opinionstage.com/" TargetMode="External"/><Relationship Id="rId149" Type="http://schemas.openxmlformats.org/officeDocument/2006/relationships/hyperlink" Target="https://na01.safelinks.protection.outlook.com/?url=https%3A%2F%2Flink.mail.beehiiv.com%2Fss%2Fc%2FAFHHY18NT0_ddKuYrElMRjx7X7PQfg8tdv6BwGfB2nMQsADE-O1-vuFK7wO-s4WOM-ZuYsWRgkPdHTuVQFEzGvxs8iTQMJRvDfPDfCiqpbFc9LdE-hy1HcOwLDTd_HRH-6b0gXA6Kd-u0tQEVLEx4QuA5x0OsfnjKxET6WFaiBUJBLcMC6xz4VRNP1SXv0KvEUqsPC4XqgGIo5l4R55U4qWjoqggY6NXFV4D1-9oeew%2F43f%2F0r2Q4BaqRmmQYVN_S21GIA%2Fh9%2FiWQpa6I08Wl0fmEWV-qtNyLx2X43CNIAFtW7CYQbuwM&amp;data=05%7C02%7C%7C6d9e3a4340a14913bf8108dc21c991b9%7C84df9e7fe9f640afb435aaaaaaaaaaaa%7C1%7C0%7C638422396844138731%7CUnknown%7CTWFpbGZsb3d8eyJWIjoiMC4wLjAwMDAiLCJQIjoiV2luMzIiLCJBTiI6Ik1haWwiLCJXVCI6Mn0%3D%7C0%7C%7C%7C&amp;sdata=NLD7bKdZHbCRNM1NhAPfxDV4GhhUGIfC52QEqo00YdU%3D&amp;reserved=0" TargetMode="External"/><Relationship Id="rId95" Type="http://schemas.openxmlformats.org/officeDocument/2006/relationships/hyperlink" Target="https://link.mail.beehiiv.com/ss/c/AFHHY18NT0_ddKuYrElMRoj953jP9c1wjfhbwZUuF62ZQKLQCUGpoG1p-MoNVdA3bpvngVwKDkdq265m-7CgZnlrXqov4fGoWL93rriOK77Qf8yDcixD72ZT9P6DtnpYIWQjz84Yi1f5aJxNsEJqhjkhX3ZtNYutywDqNOU7rCWE1emd3FLar4F8IF6UMh0dkRqr1FpgXP_m3sqeZGX64IVh5DvJdrW7cfadsrf8YMQ/42p/JkpIHFtGTxqXEK5AwNbd_Q/h17/so_o6RorAxrBA3JPCwrfZtj40yVhsYC05ORu4rRXoyI" TargetMode="External"/><Relationship Id="rId160" Type="http://schemas.openxmlformats.org/officeDocument/2006/relationships/hyperlink" Target="https://na01.safelinks.protection.outlook.com/?url=https%3A%2F%2Flink.mail.beehiiv.com%2Fss%2Fc%2FAFHHY18NT0_ddKuYrElMRk0-4Sp0rps3WVb88kwtwMSBKjwBBEiu_dmbboK-VBWSTAorPKfnd6bMplJ7rCOQmhGD08zbc-qIsoYfx_5ZtFvJKDlgE4s3MlqOz_Ybye9mqFPST9g84CGjTlFDTSnq3cLvgG6-BDVOmNGWRtSJJl4%2F43l%2FHwMXHvz3RievO6mgT_l0CA%2Fh5%2FwmrZuK9EUiUMFv0cJkXvs5z1Z4VGLerPv0KtOB9KiAc&amp;data=05%7C02%7C%7C4c8a7b702214462daaff08dc266d644f%7C84df9e7fe9f640afb435aaaaaaaaaaaa%7C1%7C0%7C638427498508997489%7CUnknown%7CTWFpbGZsb3d8eyJWIjoiMC4wLjAwMDAiLCJQIjoiV2luMzIiLCJBTiI6Ik1haWwiLCJXVCI6Mn0%3D%7C0%7C%7C%7C&amp;sdata=H4cZEYrvsd3kRXgfNwqM%2BBKgfEAsvhnDZfSZ9KHmn3M%3D&amp;reserved=0" TargetMode="External"/><Relationship Id="rId216" Type="http://schemas.openxmlformats.org/officeDocument/2006/relationships/hyperlink" Target="https://link.mail.beehiiv.com/ss/c/jMFTGBN48XY1wUMNWd3dQEmwVWgz4Llas26eQ3GOge9nMC0ZY7JG8iuBBOr_5qtUNEhkFcbZrWc1jQlGQ3M8HOfoyc6Xqo3DZFI4-o-6NoFhsfJ41gm65TcGbEu5H350AcyppHYsr7w08rSDl8YQVaq5V5-PQTpxeYRq4bE_iCaf_KQc3r53WnPIC_pjm40Y9a9w2k6bE5G3J1OAoJGaB-cyV2CaSzPoc8ALTltUcGjUhmTiAzIoxTm3HFMYAE04/42i/j5yR117ZR1WBEiOGjECApA/h9/3BA8_moIxHTBl-LsweYdjv5CkDGp6uY12Qm03bk6vDA" TargetMode="External"/><Relationship Id="rId258" Type="http://schemas.openxmlformats.org/officeDocument/2006/relationships/hyperlink" Target="https://na01.safelinks.protection.outlook.com/?url=https%3A%2F%2F31634813.bhclick.com%2Fss%2Fc%2Fz0X5DY489zjmVLlFQopoHc30P4ygMlB8S2tLtQysBQdc1fWj7DF76hD_LXxaUEgz-Emj1R44bU-j6ci0VPjDErw9PVuRRML6OK-6dJ2FU9A6722Z-46eLzCNfE3y__kJFuQbMC4Iuf_5Fc6z1OUX6I74MKYAFkLZWzb8O8P_o1Q5qahoO6lOQq_lmfp4BNBlxGlGOY2PGCWq8pfSHTUUqQ%2F43o%2FTYbM0llAQ9i5NV5nw08yTw%2Fh10%2FmJ7jaHVsj77oGdG9ISs2mj6TveigqKxrhMAXsqyk8e8&amp;data=05%7C02%7C%7C9033785e649243c4dfaa08dc28c8a6bc%7C84df9e7fe9f640afb435aaaaaaaaaaaa%7C1%7C0%7C638430089486086934%7CUnknown%7CTWFpbGZsb3d8eyJWIjoiMC4wLjAwMDAiLCJQIjoiV2luMzIiLCJBTiI6Ik1haWwiLCJXVCI6Mn0%3D%7C0%7C%7C%7C&amp;sdata=Psw4xI4yTVkT658ud2rT7gPeOzNC6ceRU9qFdaXsezU%3D&amp;reserved=0" TargetMode="External"/><Relationship Id="rId22" Type="http://schemas.openxmlformats.org/officeDocument/2006/relationships/hyperlink" Target="https://build.withwoz.com/" TargetMode="External"/><Relationship Id="rId64" Type="http://schemas.openxmlformats.org/officeDocument/2006/relationships/hyperlink" Target="https://na01.safelinks.protection.outlook.com/?url=https%3A%2F%2Flink.mail.beehiiv.com%2Fss%2Fc%2FmRpFJppvZP-Kc2DMS078G2rrBdW9rettrQh38DIfn7atzoTMfp21D2scGbKwWxFWOiJpnchnbdtk3mbZAQ3E8kxwJ4VACrNMl4pxsWBwifdWox2MF5ogiIDNDmyIvK5lM8EWU7usSN_Qg73VgZcI2aLlfwxphsO7w0XZ5Sx2D9JDTpKUzADoXp6thDQvxjpz%2F428%2FXDkX1EU2RguIZ3sW5zoTXg%2Fh20%2FgAYP7fLx7IBkUbpHF0x4aCDcozc5Z1ZwsVX2js2mnkY&amp;data=05%7C02%7C%7C131e8d403b6f42fc230808dbfff04d7d%7C84df9e7fe9f640afb435aaaaaaaaaaaa%7C1%7C0%7C638385179834664319%7CUnknown%7CTWFpbGZsb3d8eyJWIjoiMC4wLjAwMDAiLCJQIjoiV2luMzIiLCJBTiI6Ik1haWwiLCJXVCI6Mn0%3D%7C3000%7C%7C%7C&amp;sdata=4%2BR5a1vxtXHHpVcZPLQljxGUa4cRWfcH42m4ammK%2B0U%3D&amp;reserved=0" TargetMode="External"/><Relationship Id="rId118" Type="http://schemas.openxmlformats.org/officeDocument/2006/relationships/hyperlink" Target="https://link.mail.beehiiv.com/ss/c/AFHHY18NT0_ddKuYrElMRlWBdkTI9XhPRwD3DuhYlFD1nX30DIuyNxX0_uEwmkeq-fOgM_YwVNa2_vnvunR8nn_PbnLQxuqhzUjKNx1AHmb6CAC2dV_fEY6N15pCSFadjbqh8lBr-IUsvKMWvAvTBXRVKNI-kTzAe5jdMDUnfsU/42x/ugknEuMqS_-W8W1KV-PmbQ/h18/CH2AQeGrdvnCMK4AjobXa-NYD_N10l7IOZ1_2nt2_PQ" TargetMode="External"/><Relationship Id="rId171" Type="http://schemas.openxmlformats.org/officeDocument/2006/relationships/hyperlink" Target="https://www.usegalileo.ai/" TargetMode="External"/><Relationship Id="rId227" Type="http://schemas.openxmlformats.org/officeDocument/2006/relationships/hyperlink" Target="https://link.mail.beehiiv.com/ss/c/i142ipyW89EI2-TL2DD4FITDBMNRoYFfxy52DHo9f65xGlOPGTY4fPoc8LgKtPCkmEHlkXEefq72xf2Fo0RrSid3rvGJXVGCarGcIrssu8zQSWUvrV4OIpvz7kIPEoICABv1DvifrS-UqFFn6aKsccdb3ryMOIBoaKOHdb7WfXs/42t/BW-dfpFeS66B4-Va138g3w/h14/7jGjTWV_z7LIRUaMRquC6ukJNahVSukeGgNvB7N6qC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lindy.ai/" TargetMode="External"/><Relationship Id="rId13" Type="http://schemas.openxmlformats.org/officeDocument/2006/relationships/hyperlink" Target="https://infuzu.com/" TargetMode="External"/><Relationship Id="rId18" Type="http://schemas.openxmlformats.org/officeDocument/2006/relationships/hyperlink" Target="https://chatgpt.com/" TargetMode="External"/><Relationship Id="rId3" Type="http://schemas.openxmlformats.org/officeDocument/2006/relationships/hyperlink" Target="https://tray.ai/" TargetMode="External"/><Relationship Id="rId7" Type="http://schemas.openxmlformats.org/officeDocument/2006/relationships/hyperlink" Target="https://www.glean.com/" TargetMode="External"/><Relationship Id="rId12" Type="http://schemas.openxmlformats.org/officeDocument/2006/relationships/hyperlink" Target="https://gemini.google.com/" TargetMode="External"/><Relationship Id="rId17" Type="http://schemas.openxmlformats.org/officeDocument/2006/relationships/hyperlink" Target="https://you.com/" TargetMode="External"/><Relationship Id="rId2" Type="http://schemas.openxmlformats.org/officeDocument/2006/relationships/hyperlink" Target="https://www.ekinox.io/" TargetMode="External"/><Relationship Id="rId16" Type="http://schemas.openxmlformats.org/officeDocument/2006/relationships/hyperlink" Target="https://www.simular.ai/" TargetMode="External"/><Relationship Id="rId20" Type="http://schemas.openxmlformats.org/officeDocument/2006/relationships/hyperlink" Target="https://www.ripplica.com/" TargetMode="External"/><Relationship Id="rId1" Type="http://schemas.openxmlformats.org/officeDocument/2006/relationships/hyperlink" Target="https://www.mindstudio.ai/" TargetMode="External"/><Relationship Id="rId6" Type="http://schemas.openxmlformats.org/officeDocument/2006/relationships/hyperlink" Target="https://www.quickchat.ai/" TargetMode="External"/><Relationship Id="rId11" Type="http://schemas.openxmlformats.org/officeDocument/2006/relationships/hyperlink" Target="https://chat.deepseek.com/a" TargetMode="External"/><Relationship Id="rId5" Type="http://schemas.openxmlformats.org/officeDocument/2006/relationships/hyperlink" Target="https://flowiseai.com/" TargetMode="External"/><Relationship Id="rId15" Type="http://schemas.openxmlformats.org/officeDocument/2006/relationships/hyperlink" Target="https://copilot.microsoft.com/" TargetMode="External"/><Relationship Id="rId10" Type="http://schemas.openxmlformats.org/officeDocument/2006/relationships/hyperlink" Target="https://claude.ai/" TargetMode="External"/><Relationship Id="rId19" Type="http://schemas.openxmlformats.org/officeDocument/2006/relationships/hyperlink" Target="https://manus.im/" TargetMode="External"/><Relationship Id="rId4" Type="http://schemas.openxmlformats.org/officeDocument/2006/relationships/hyperlink" Target="https://aident.ai/" TargetMode="External"/><Relationship Id="rId9" Type="http://schemas.openxmlformats.org/officeDocument/2006/relationships/hyperlink" Target="https://sana.ai/" TargetMode="External"/><Relationship Id="rId14" Type="http://schemas.openxmlformats.org/officeDocument/2006/relationships/hyperlink" Target="https://monica.im/"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na01.safelinks.protection.outlook.com/?url=https%3A%2F%2Flink.mail.beehiiv.com%2Fss%2Fc%2Fi142ipyW89EI2-TL2DD4FO_4AdYuJEarwNcD3w_h1ImOaM7s9Jv22bsmQS4YTZH7XxQB4WJ7j8nARW2UHiL4itsE1wtYaL1s6WHSIk8MqX7qonAWYbQbXyjoJIyEdQgXz5yy-yPz4cum87u3NMdAeLZZunEyS39VzKdqYgu3kccZ1CReQiGyokzIKxd4tZ1bKXxX9WQi4auPa7cyGvANTJUspTpD3wcBcNe6h9gHvIprDLZN8lv5UBWFE_JsAK9AITRNMG8NkYXtbo6wI1Tgmg%2F43h%2F7OxjGHLcTgywXbs0oXNXLQ%2Fh10%2FXKq1p7wTCr_0VTFA-OoEMczS1YX7_z3vou_9NYy6oec&amp;data=05%7C02%7C%7C92b5a0b457a44f6603dd08dc23488154%7C84df9e7fe9f640afb435aaaaaaaaaaaa%7C1%7C0%7C638424041549968244%7CUnknown%7CTWFpbGZsb3d8eyJWIjoiMC4wLjAwMDAiLCJQIjoiV2luMzIiLCJBTiI6Ik1haWwiLCJXVCI6Mn0%3D%7C0%7C%7C%7C&amp;sdata=%2FZKOhN%2FW6XRe3vAH2TdhXHMB%2Bql3SRa4NuvOjFcuIqg%3D&amp;reserved=0" TargetMode="External"/><Relationship Id="rId21" Type="http://schemas.openxmlformats.org/officeDocument/2006/relationships/hyperlink" Target="https://na01.safelinks.protection.outlook.com/?url=https%3A%2F%2Flink.mail.beehiiv.com%2Fss%2Fc%2FAFHHY18NT0_ddKuYrElMRuuMWF6skErlmSvmK6l1JyUkTWrvWUJL11IJ99OIRP5Nysq8l0BVs9Xs1J79aCnQf5CQJRtbWOKUAOeoboPf4jDILfw5lKnpEF2W5w2Pt28i3KpfMzrxANVmJMP3zmUWcBCsAYRrJCtDLtbEYWh0UT_tOf6WGnL-0lBzpeZ6_1jz%2F43p%2FjvHr-I6eRUCnOzE4IDkryQ%2Fh7%2FZxbea_9QSUg1Rhs8wkKEi3rzJ8daluEo8Lao9Fos-Mg&amp;data=05%7C02%7C%7C5cce792f15a54dfab9b808dc2992240f%7C84df9e7fe9f640afb435aaaaaaaaaaaa%7C1%7C0%7C638430954878815465%7CUnknown%7CTWFpbGZsb3d8eyJWIjoiMC4wLjAwMDAiLCJQIjoiV2luMzIiLCJBTiI6Ik1haWwiLCJXVCI6Mn0%3D%7C0%7C%7C%7C&amp;sdata=OxuTKy%2BJzdDxDnpEhCDRdsW0o3Rfux9Ve4ugdrcu7AM%3D&amp;reserved=0" TargetMode="External"/><Relationship Id="rId34" Type="http://schemas.openxmlformats.org/officeDocument/2006/relationships/hyperlink" Target="https://link.mail.beehiiv.com/ss/c/0wlcaBm-wAGbfh-p66fdvF-uGVTFiztcgcJUR_Wa9T3X2TR6VOwtIBOjXFDI5_shLqT4KP0enBtlDFzFnMbOfr6s2alEezjHQX5fpAt27FgKbgi4P_ZkpiRMEJbW4dEURrYaJO7Xq4O8dVoO1ElEc0FFspZn-bvxNnCY-L2-pKo/42w/f1oAezbGRg-h6mWpOtN6Kg/h13/20rXk-_sbh_YTboIYSo5NbcM-JEAS0pT-A6ZaWhFTKA" TargetMode="External"/><Relationship Id="rId42" Type="http://schemas.openxmlformats.org/officeDocument/2006/relationships/hyperlink" Target="https://na01.safelinks.protection.outlook.com/?url=https%3A%2F%2Flink.mail.beehiiv.com%2Fss%2Fc%2Fz0X5DY489zjmVLlFQopoHWvSHKJt7co90mQtibFPlukSmFBg1b_ykxteitP0mTeNJYZAhLeJNfppGF0H96cSE38R-cRIY29IxqH0TqREr9A6wlUNisMnfwDKIK7tcvP6AhuIal-FkijGMnd4gtB7r4hFfzOaq2YxNBzwXWyTs51kNS-fsZhCJv5Hbsn_VA6W5OGD-ry2ectrHmljmSVJhA%2F425%2FBAt7DEa7RBuNXTUzReGD5A%2Fh13%2FH60juV-HxZK2PdZbI2iOougLzt_KAfC152-PjQI-6NA&amp;data=05%7C02%7C%7C9a9fcf3ef1f04979b0cd08dbfd90c779%7C84df9e7fe9f640afb435aaaaaaaaaaaa%7C1%7C0%7C638382570530352505%7CUnknown%7CTWFpbGZsb3d8eyJWIjoiMC4wLjAwMDAiLCJQIjoiV2luMzIiLCJBTiI6Ik1haWwiLCJXVCI6Mn0%3D%7C3000%7C%7C%7C&amp;sdata=nSMU6CLoEZ4mJGPZ9efRvphPKoF7i6PthtZCqxmsqTE%3D&amp;reserved=0" TargetMode="External"/><Relationship Id="rId47" Type="http://schemas.openxmlformats.org/officeDocument/2006/relationships/hyperlink" Target="https://www.digen.ai/" TargetMode="External"/><Relationship Id="rId50" Type="http://schemas.openxmlformats.org/officeDocument/2006/relationships/hyperlink" Target="https://cleanvoice.ai/" TargetMode="External"/><Relationship Id="rId55" Type="http://schemas.openxmlformats.org/officeDocument/2006/relationships/hyperlink" Target="https://www.getaftercare.com/" TargetMode="External"/><Relationship Id="rId63" Type="http://schemas.openxmlformats.org/officeDocument/2006/relationships/hyperlink" Target="https://na01.safelinks.protection.outlook.com/?url=https%3A%2F%2Flink.mail.beehiiv.com%2Fss%2Fc%2FmRpFJppvZP-Kc2DMS078G0DfOtsk0nvR6J4GJ6flD1WVmKdUsDBRHSOIkKCv4HvHUD5JxyMN_XQCov7mmYXtc3ac_6Pso05VT9YouRHjdDG0lFvygXbkQBkWmtbdM9L7rUiO5vKCF3CF9FXv2VZzFN56uoIBZFNQNGhpRsPruPQtnl5rJ35Ru6khmydvOB7lnmjtuDeRHbuZk969SdrkHA%2F43n%2FiO-pL6SiSOqAXUwE07J6jg%2Fh12%2FFwjUMWKtdfh47-WQO5_GBrC31c-M6KxmDSeo25BTzaY&amp;data=05%7C02%7C%7Ccf9a69073011423d7bb908dc280386ca%7C84df9e7fe9f640afb435aaaaaaaaaaaa%7C1%7C0%7C638429242852236115%7CUnknown%7CTWFpbGZsb3d8eyJWIjoiMC4wLjAwMDAiLCJQIjoiV2luMzIiLCJBTiI6Ik1haWwiLCJXVCI6Mn0%3D%7C0%7C%7C%7C&amp;sdata=%2BkT%2Fn8TwaFKj%2BkqIpUllMrfcwF29mkLdu9ivvk0c1k0%3D&amp;reserved=0" TargetMode="External"/><Relationship Id="rId7" Type="http://schemas.openxmlformats.org/officeDocument/2006/relationships/hyperlink" Target="https://na01.safelinks.protection.outlook.com/?url=https%3A%2F%2Flink.mail.beehiiv.com%2Fss%2Fc%2FAFHHY18NT0_ddKuYrElMRuAaCu7Ag3gSAAsrBkuz-CqbSlATyY0JoFLNyjACV1xZ_NM-KyH-aQLYr0is0TJzDLaHObIetxAwBN85757gTYWVruRDaUF1I1Zyqk1FMyVJs7eaQqTF68GZSbJDtjS0TdaHOyh0mc2eO9sFw9Y_7rm2Xf0-lDQyei5dGoGvH5J5I51V-3kuDt1O5YH9gn7vNE9soZ93COk-w01JzzAeZsc%2F437%2F4vbfGtooTOG-XpTsrdoYDw%2Fh12%2F76AMR-zv6NsHTXUFTi-ZIa8Ssai5aozLwWymq-XgwjQ&amp;data=05%7C02%7C%7C86c4e1f9c72b4f721b0308dc1b6c231b%7C84df9e7fe9f640afb435aaaaaaaaaaaa%7C1%7C0%7C638415398499265249%7CUnknown%7CTWFpbGZsb3d8eyJWIjoiMC4wLjAwMDAiLCJQIjoiV2luMzIiLCJBTiI6Ik1haWwiLCJXVCI6Mn0%3D%7C3000%7C%7C%7C&amp;sdata=do9OQTPqTkkOwAekTusoMqmzKC8p2undB002qE9mUGg%3D&amp;reserved=0" TargetMode="External"/><Relationship Id="rId2" Type="http://schemas.openxmlformats.org/officeDocument/2006/relationships/hyperlink" Target="https://na01.safelinks.protection.outlook.com/?url=https%3A%2F%2Flink.mail.beehiiv.com%2Fss%2Fc%2Fi142ipyW89EI2-TL2DD4FITDBMNRoYFfxy52DHo9f65xGlOPGTY4fPoc8LgKtPCkmEHlkXEefq72xf2Fo0RrSid3rvGJXVGCarGcIrssu8zzctD9Ehz3_RZw4kvK8cKOtNOLa9uZJCDori6odnmaNg1wAa0F9zneS1QblVhiYv7Q0IC6Cf_jEqjNe4irbES-q1txtO2LQ2zszZDJ_uuh4A%2F43n%2FiO-pL6SiSOqAXUwE07J6jg%2Fh8%2F8ds9zdjQwaMXJfzjomu4V9ky7ua10A90_5rODM53STA&amp;data=05%7C02%7C%7Ccf9a69073011423d7bb908dc280386ca%7C84df9e7fe9f640afb435aaaaaaaaaaaa%7C1%7C0%7C638429242852194428%7CUnknown%7CTWFpbGZsb3d8eyJWIjoiMC4wLjAwMDAiLCJQIjoiV2luMzIiLCJBTiI6Ik1haWwiLCJXVCI6Mn0%3D%7C0%7C%7C%7C&amp;sdata=d8VtvV9CKNK5XpUIC5oG6KbROsuMqmPu%2Fu4KJQ7uxEQ%3D&amp;reserved=0" TargetMode="External"/><Relationship Id="rId16" Type="http://schemas.openxmlformats.org/officeDocument/2006/relationships/hyperlink" Target="https://replicate.com/home" TargetMode="External"/><Relationship Id="rId29" Type="http://schemas.openxmlformats.org/officeDocument/2006/relationships/hyperlink" Target="https://na01.safelinks.protection.outlook.com/?url=https%3A%2F%2Flink.mail.beehiiv.com%2Fss%2Fc%2FAFHHY18NT0_ddKuYrElMRhWFMuV42hYsWenjxiqhUUnluaKl8SxgqWAeB3tkbYtYpdQ_GiW6o7UnhmznbCUhNw8-NvawKhSmnaTwz4DMgCbAMzHJ4dOEZwVzRIIMABBX_CtIiL_aJbJcQN73lwS3M8G6xDRMzBfE_Xp7QYH7iFJutcuvPWJjF02IBb1yrn9fuIfAuZRwMwILU_ZP3OoBFiXMvUrdwZv_g6RgiREL_Pk%2F438%2FZBlGr5r-QrKKyDaAJsM9-w%2Fh10%2F7l00GfSr8kJHPI94EJ92EoknATH5tWVFPsErPXzhN1I&amp;data=05%7C02%7C%7C77deb5ee2ccf4c319ccd08dc1c35f0ad%7C84df9e7fe9f640afb435aaaaaaaaaaaa%7C1%7C0%7C638416265236720440%7CUnknown%7CTWFpbGZsb3d8eyJWIjoiMC4wLjAwMDAiLCJQIjoiV2luMzIiLCJBTiI6Ik1haWwiLCJXVCI6Mn0%3D%7C3000%7C%7C%7C&amp;sdata=lhQlQx3oah3d5Jp3bwIuLGkIl3IMi4RNZgyx3vkqwqA%3D&amp;reserved=0" TargetMode="External"/><Relationship Id="rId11" Type="http://schemas.openxmlformats.org/officeDocument/2006/relationships/hyperlink" Target="https://na01.safelinks.protection.outlook.com/?url=https%3A%2F%2Flink.mail.beehiiv.com%2Fss%2Fc%2FAFHHY18NT0_ddKuYrElMRny9TH-VJRCMjOkTjnem8dEzm6QKrlq6XLwUX9_eUs63UAujduDWGFi-JLPmvXj3HQwghTHz9Fccgnxd8f9As_M5aXstBPq9GFqiN3b3X-qSqiptcR4GXeMOblTyt8HxLRRs0sXlTqcKjB_mvNQF-8evwNYT6CZqYIgyzEMMtGaD%2F42h%2F_ogS6TxZSlercL0Nc_b1Ng%2Fh19%2F16UkU9xNlMgSnQA-gFOcfxQiKHyORPGmKKP4XEAQ7q8&amp;data=05%7C02%7C%7Cb42a097c4c334259a52308dc06fecdce%7C84df9e7fe9f640afb435aaaaaaaaaaaa%7C1%7C0%7C638392938691976893%7CUnknown%7CTWFpbGZsb3d8eyJWIjoiMC4wLjAwMDAiLCJQIjoiV2luMzIiLCJBTiI6Ik1haWwiLCJXVCI6Mn0%3D%7C3000%7C%7C%7C&amp;sdata=MsByCoT9xvd4GyfVj6%2FivtOJ2grLSkJzM5afT4Omxok%3D&amp;reserved=0" TargetMode="External"/><Relationship Id="rId24" Type="http://schemas.openxmlformats.org/officeDocument/2006/relationships/hyperlink" Target="https://na01.safelinks.protection.outlook.com/?url=https%3A%2F%2Flink.mail.beehiiv.com%2Fss%2Fc%2F8Y-VoJkoDnX1zI1WLAgXF25C18kH-5COGF3CdUfPMzHnDoTCmjKyBLRtIldlYCmkXB4zcVCQw7pIJsvH5WvEtrkbTDq--DMEhuc8IFbbYdzK3tMp07mvDEwOXzJcvIznrSfmGt6wxW9a01gH1BUWWuhvbxt4psRavK965d1Gsf4%2F43l%2FHwMXHvz3RievO6mgT_l0CA%2Fh9%2F7ZSZbREtSFXYVTapcblbPk3d3OFXC68HvnTpYyi9AG8&amp;data=05%7C02%7C%7C4c8a7b702214462daaff08dc266d644f%7C84df9e7fe9f640afb435aaaaaaaaaaaa%7C1%7C0%7C638427498509022558%7CUnknown%7CTWFpbGZsb3d8eyJWIjoiMC4wLjAwMDAiLCJQIjoiV2luMzIiLCJBTiI6Ik1haWwiLCJXVCI6Mn0%3D%7C0%7C%7C%7C&amp;sdata=tlNNh34n0PeNkVcWZmOTVsLCf1mIA27Otp4jBaZDUGk%3D&amp;reserved=0" TargetMode="External"/><Relationship Id="rId32" Type="http://schemas.openxmlformats.org/officeDocument/2006/relationships/hyperlink" Target="https://link.mail.beehiiv.com/ss/c/2AzrNw8_0McR5ZHRioFSTqdTJhw_NO0LXPgYelBjxD9UtgAwEyOImP2RRC0NAJpvqeqKkbg5EIdGyvqpdjtzm8W_WkUfZfofigfOtc6qVTg3uLLmJbL4wLrhQkfMLTBSwBuxR6WXzfVtMF2LzPqDS-OJn2XAJGxWxWtOcnme3U-tG9-0QwySqH6Ehhj6jo8N/432/uYDT4K0OT3-IxStQIaXqyA/h12/Od99YkQzdVbzv8sJ2WH_WNKvzbOQjoop3NKKjNG0kl0" TargetMode="External"/><Relationship Id="rId37" Type="http://schemas.openxmlformats.org/officeDocument/2006/relationships/hyperlink" Target="https://na01.safelinks.protection.outlook.com/?url=https%3A%2F%2Flink.mail.beehiiv.com%2Fss%2Fc%2FAFHHY18NT0_ddKuYrElMRrud6C07quE380HxOYBb2lUdBSxNQO0otwkoO0hxOsH79dF2HG5JIFU6KcAZlkfMbFy5yRuwX7spF8twDkZq8IKbYe6Q-TBEqM0gKKD39_YhglUfIn1QPVJkift1Bm07sddXBo4tHmAmhh_IO3EOzN8tla9P8mDPaZHnMyN3AOoV%2F42h%2F_ogS6TxZSlercL0Nc_b1Ng%2Fh17%2FGjf-Pf1_iso1KKmkUhT4tyd6fxZyzfnkfyx-YOP1jHk&amp;data=05%7C02%7C%7Cb42a097c4c334259a52308dc06fecdce%7C84df9e7fe9f640afb435aaaaaaaaaaaa%7C1%7C0%7C638392938691976893%7CUnknown%7CTWFpbGZsb3d8eyJWIjoiMC4wLjAwMDAiLCJQIjoiV2luMzIiLCJBTiI6Ik1haWwiLCJXVCI6Mn0%3D%7C3000%7C%7C%7C&amp;sdata=NeMhZ8Dm2bn%2BG03gZESWnr1ycoP2FR0TfJ3Psf2%2FvQU%3D&amp;reserved=0" TargetMode="External"/><Relationship Id="rId40" Type="http://schemas.openxmlformats.org/officeDocument/2006/relationships/hyperlink" Target="https://na01.safelinks.protection.outlook.com/?url=https%3A%2F%2Flink.mail.beehiiv.com%2Fss%2Fc%2Fz0X5DY489zjmVLlFQopoHX6sPXajmNaoPbaYMrLXxZwwxbFvG0XD7ybyoAG05hIfWtHYO_EUFNENjgnqB8EwWeKcfaL9lBZRXgmf3_cnwaFDXn_ZDwcOQsZHm0Qju-Nug7QoeNt7WTx55UTFuxkl9gmSgV7ca4B5-uho9mv0NDiB7-JGIYmkvCgFJLLGkWZ9%2F42h%2F_ogS6TxZSlercL0Nc_b1Ng%2Fh21%2FNc8B06ldCWV0_ldxNX3rclCsuVjra_Cqq7oODl7T0zM&amp;data=05%7C02%7C%7Cb42a097c4c334259a52308dc06fecdce%7C84df9e7fe9f640afb435aaaaaaaaaaaa%7C1%7C0%7C638392938691976893%7CUnknown%7CTWFpbGZsb3d8eyJWIjoiMC4wLjAwMDAiLCJQIjoiV2luMzIiLCJBTiI6Ik1haWwiLCJXVCI6Mn0%3D%7C3000%7C%7C%7C&amp;sdata=UDtnkMc4vc%2FB%2F%2FWMrjKZtKHd%2BFUaXYGD1GHnFlTdJu0%3D&amp;reserved=0" TargetMode="External"/><Relationship Id="rId45" Type="http://schemas.openxmlformats.org/officeDocument/2006/relationships/hyperlink" Target="https://raphael.app/" TargetMode="External"/><Relationship Id="rId53" Type="http://schemas.openxmlformats.org/officeDocument/2006/relationships/hyperlink" Target="https://huggingface.co/" TargetMode="External"/><Relationship Id="rId58" Type="http://schemas.openxmlformats.org/officeDocument/2006/relationships/hyperlink" Target="https://na01.safelinks.protection.outlook.com/?url=https%3A%2F%2Flink.mail.beehiiv.com%2Fss%2Fc%2Fi142ipyW89EI2-TL2DD4FJAI8C1_wfjuaWeHIxPtYriTeB5oc1_8Uz5LQudTHoZF3tnsH4xAtpAL4xtyvHJuuCabRlU3YqnSErgz6cH7x4zVcc-oMv3KHHR-Ji9GAQTAwF-GH3Du2yrTsk7Sjm3ly_OnOMCvyTWuY5ATPl7DBzunYy3XJwoE-3TkNlbIpooLRgKahelVyDpvfKJgaZQkFQ%2F437%2F4vbfGtooTOG-XpTsrdoYDw%2Fh13%2FynK-_2chNyvkvGx3EHz14d0KJpCuoxahx6H3Y4CUenM&amp;data=05%7C02%7C%7C86c4e1f9c72b4f721b0308dc1b6c231b%7C84df9e7fe9f640afb435aaaaaaaaaaaa%7C1%7C0%7C638415398499272685%7CUnknown%7CTWFpbGZsb3d8eyJWIjoiMC4wLjAwMDAiLCJQIjoiV2luMzIiLCJBTiI6Ik1haWwiLCJXVCI6Mn0%3D%7C3000%7C%7C%7C&amp;sdata=mVNZmZ3dIwWPvbSYtH8C%2FjhYNnH7ynBpSJVuNlMUIJE%3D&amp;reserved=0" TargetMode="External"/><Relationship Id="rId5" Type="http://schemas.openxmlformats.org/officeDocument/2006/relationships/hyperlink" Target="https://na01.safelinks.protection.outlook.com/?url=https%3A%2F%2Flink.mail.beehiiv.com%2Fss%2Fc%2F-waoIZkt-taHfRlPPq_z7bFL5GWiaxL4Y5635FuFO6C7dcUCaf0VBswiG6Taq7kAdSmxVpCrkPueULxlwI3YHFRip2yTWDMyvuI0K6enYCmkPpi9RBk_AH5eANYadXHFEjqwCHkMRBzoGgP9MWWE2HSGnRqf2igQwls-iV5afyKGz22PH1caCOf8yh1uZvDtx-UdGimkO-__It5RuwAo7sVFy1D_8xyZ1ARDzVCR3yw%2F43f%2F0r2Q4BaqRmmQYVN_S21GIA%2Fh12%2FlCXnMOzlJpwxBGAP14x4E-_RLa-ZfZ6d-Q8v_3TadR0&amp;data=05%7C02%7C%7C6d9e3a4340a14913bf8108dc21c991b9%7C84df9e7fe9f640afb435aaaaaaaaaaaa%7C1%7C0%7C638422396844169679%7CUnknown%7CTWFpbGZsb3d8eyJWIjoiMC4wLjAwMDAiLCJQIjoiV2luMzIiLCJBTiI6Ik1haWwiLCJXVCI6Mn0%3D%7C0%7C%7C%7C&amp;sdata=yiNXb%2FYbHFwk9K0yGdxltMvGLtI8STSYsItl44VJSOE%3D&amp;reserved=0" TargetMode="External"/><Relationship Id="rId61" Type="http://schemas.openxmlformats.org/officeDocument/2006/relationships/hyperlink" Target="https://na01.safelinks.protection.outlook.com/?url=https%3A%2F%2Flink.mail.beehiiv.com%2Fss%2Fc%2FAFHHY18NT0_ddKuYrElMRktAG-8McQlycZv0qziENIfQLKOV7ewomo_OXwWh4fWipcIACqPPxXr9CllHuJmgOnCIlUKtJnZhKqkNOIkYVvv7tfTGv65F3763AAHRVVH_iFZrIF3sp3F_j287aAthBQmSMiC6BRS2Bx1uI0tkhF8SX8UIK3pyhHMdwO-rhleTXRpWTdRa9uxTQmUVwssNRQ%2F429%2Fh2pqv3d1RQ67Bfh-NIiP1A%2Fh22%2FZedfm5Rh_AWCTnBp-E3DBr2x-Lg44I5-6Y3-2rcXLGQ&amp;data=05%7C02%7C%7C217feb6faf81474831eb08dc00b512fe%7C84df9e7fe9f640afb435aaaaaaaaaaaa%7C1%7C0%7C638386025021750710%7CUnknown%7CTWFpbGZsb3d8eyJWIjoiMC4wLjAwMDAiLCJQIjoiV2luMzIiLCJBTiI6Ik1haWwiLCJXVCI6Mn0%3D%7C3000%7C%7C%7C&amp;sdata=NmEFua0kC5NsZltrgFxJrO4fAx65h6ZPoxsGVBXNu%2FI%3D&amp;reserved=0" TargetMode="External"/><Relationship Id="rId19" Type="http://schemas.openxmlformats.org/officeDocument/2006/relationships/hyperlink" Target="https://lumalabs.ai/" TargetMode="External"/><Relationship Id="rId14" Type="http://schemas.openxmlformats.org/officeDocument/2006/relationships/hyperlink" Target="https://na01.safelinks.protection.outlook.com/?url=https%3A%2F%2Flink.mail.beehiiv.com%2Fss%2Fc%2Fz0X5DY489zjmVLlFQopoHWvSHKJt7co90mQtibFPlukSmFBg1b_ykxteitP0mTeNJYZAhLeJNfppGF0H96cSE38R-cRIY29IxqH0TqREr9A6wlUNisMnfwDKIK7tcvP6AhuIal-FkijGMnd4gtB7r4hFfzOaq2YxNBzwXWyTs51kNS-fsZhCJv5Hbsn_VA6W5OGD-ry2ectrHmljmSVJhA%2F425%2FBAt7DEa7RBuNXTUzReGD5A%2Fh13%2FH60juV-HxZK2PdZbI2iOougLzt_KAfC152-PjQI-6NA&amp;data=05%7C02%7C%7C9a9fcf3ef1f04979b0cd08dbfd90c779%7C84df9e7fe9f640afb435aaaaaaaaaaaa%7C1%7C0%7C638382570530352505%7CUnknown%7CTWFpbGZsb3d8eyJWIjoiMC4wLjAwMDAiLCJQIjoiV2luMzIiLCJBTiI6Ik1haWwiLCJXVCI6Mn0%3D%7C3000%7C%7C%7C&amp;sdata=nSMU6CLoEZ4mJGPZ9efRvphPKoF7i6PthtZCqxmsqTE%3D&amp;reserved=0" TargetMode="External"/><Relationship Id="rId22" Type="http://schemas.openxmlformats.org/officeDocument/2006/relationships/hyperlink" Target="https://na01.safelinks.protection.outlook.com/?url=https%3A%2F%2F31634813.bhclick.com%2Fss%2Fc%2FAFHHY18NT0_ddKuYrElMRhv05qHavjoYn-Gl_scPGDa2gH_JT9ZdRZA3QdPorVbohVmc2l3mVyIbAifIKu-ZdRbh5zoEDcmDXmu4xNIycG_PXqbl9fhoiJO2T2m5KgwtnLaURYQzYo5Hbrfa6aZdrLr0hpjBNq2JjOTLkZ1AUQP5wxf4ZRZoKScb63mbEtXALUdUk4dPPLAMaq77kYmUN8y8sroJj-JUtd-H-LF5hec%2F43o%2FTYbM0llAQ9i5NV5nw08yTw%2Fh14%2Fl5bCtQ0g_Dx1BuC8vnS9gZiYsQVPOtFDOtZpSm3E3Lw&amp;data=05%7C02%7C%7C9033785e649243c4dfaa08dc28c8a6bc%7C84df9e7fe9f640afb435aaaaaaaaaaaa%7C1%7C0%7C638430089486131997%7CUnknown%7CTWFpbGZsb3d8eyJWIjoiMC4wLjAwMDAiLCJQIjoiV2luMzIiLCJBTiI6Ik1haWwiLCJXVCI6Mn0%3D%7C0%7C%7C%7C&amp;sdata=gDBaIk9RPHQmmuAOMQqFNi4RBpyjNV2up5YYZL7jgnY%3D&amp;reserved=0" TargetMode="External"/><Relationship Id="rId27" Type="http://schemas.openxmlformats.org/officeDocument/2006/relationships/hyperlink" Target="https://na01.safelinks.protection.outlook.com/?url=https%3A%2F%2Flink.mail.beehiiv.com%2Fss%2Fc%2F-waoIZkt-taHfRlPPq_z7bFL5GWiaxL4Y5635FuFO6C7dcUCaf0VBswiG6Taq7kAdSmxVpCrkPueULxlwI3YHFRip2yTWDMyvuI0K6enYCmkPpi9RBk_AH5eANYadXHFEjqwCHkMRBzoGgP9MWWE2HSGnRqf2igQwls-iV5afyKGz22PH1caCOf8yh1uZvDtx-UdGimkO-__It5RuwAo7sVFy1D_8xyZ1ARDzVCR3yw%2F43f%2F0r2Q4BaqRmmQYVN_S21GIA%2Fh12%2FlCXnMOzlJpwxBGAP14x4E-_RLa-ZfZ6d-Q8v_3TadR0&amp;data=05%7C02%7C%7C6d9e3a4340a14913bf8108dc21c991b9%7C84df9e7fe9f640afb435aaaaaaaaaaaa%7C1%7C0%7C638422396844169679%7CUnknown%7CTWFpbGZsb3d8eyJWIjoiMC4wLjAwMDAiLCJQIjoiV2luMzIiLCJBTiI6Ik1haWwiLCJXVCI6Mn0%3D%7C0%7C%7C%7C&amp;sdata=yiNXb%2FYbHFwk9K0yGdxltMvGLtI8STSYsItl44VJSOE%3D&amp;reserved=0" TargetMode="External"/><Relationship Id="rId30" Type="http://schemas.openxmlformats.org/officeDocument/2006/relationships/hyperlink" Target="https://na01.safelinks.protection.outlook.com/?url=https%3A%2F%2Flink.mail.beehiiv.com%2Fss%2Fc%2FAFHHY18NT0_ddKuYrElMRuAaCu7Ag3gSAAsrBkuz-CqbSlATyY0JoFLNyjACV1xZ_NM-KyH-aQLYr0is0TJzDLaHObIetxAwBN85757gTYWVruRDaUF1I1Zyqk1FMyVJs7eaQqTF68GZSbJDtjS0TdaHOyh0mc2eO9sFw9Y_7rm2Xf0-lDQyei5dGoGvH5J5I51V-3kuDt1O5YH9gn7vNE9soZ93COk-w01JzzAeZsc%2F437%2F4vbfGtooTOG-XpTsrdoYDw%2Fh12%2F76AMR-zv6NsHTXUFTi-ZIa8Ssai5aozLwWymq-XgwjQ&amp;data=05%7C02%7C%7C86c4e1f9c72b4f721b0308dc1b6c231b%7C84df9e7fe9f640afb435aaaaaaaaaaaa%7C1%7C0%7C638415398499265249%7CUnknown%7CTWFpbGZsb3d8eyJWIjoiMC4wLjAwMDAiLCJQIjoiV2luMzIiLCJBTiI6Ik1haWwiLCJXVCI6Mn0%3D%7C3000%7C%7C%7C&amp;sdata=do9OQTPqTkkOwAekTusoMqmzKC8p2undB002qE9mUGg%3D&amp;reserved=0" TargetMode="External"/><Relationship Id="rId35" Type="http://schemas.openxmlformats.org/officeDocument/2006/relationships/hyperlink" Target="https://link.mail.beehiiv.com/ss/c/AFHHY18NT0_ddKuYrElMRugVC4tEqXSmcvdGi_Pkx5Hbq5tD40AbFoo1XpnGiqOLVlRKPNUbxqXwVomIK8y4nh86K5PZQFx8ujpBNl_qTTKE5bgSu4OX3fnbFnbF4X2MNvfmOb1sZXPlvFTeZDb_76iJ-de3WBsuoNsBD4oTWAI/42n/9aXz3kL9RF6U874vSWwJ_w/h19/zMRQRJ7UumPQcg5aJ7uzLaYmjZ79-5IbORgdMtQJOTA" TargetMode="External"/><Relationship Id="rId43" Type="http://schemas.openxmlformats.org/officeDocument/2006/relationships/hyperlink" Target="https://mindmapai.app/" TargetMode="External"/><Relationship Id="rId48" Type="http://schemas.openxmlformats.org/officeDocument/2006/relationships/hyperlink" Target="https://www.hume.ai/" TargetMode="External"/><Relationship Id="rId56" Type="http://schemas.openxmlformats.org/officeDocument/2006/relationships/hyperlink" Target="https://krisp.ai/" TargetMode="External"/><Relationship Id="rId64" Type="http://schemas.openxmlformats.org/officeDocument/2006/relationships/hyperlink" Target="https://na01.safelinks.protection.outlook.com/?url=https%3A%2F%2Flink.mail.beehiiv.com%2Fss%2Fc%2FAFHHY18NT0_ddKuYrElMRktAG-8McQlycZv0qziENIfQLKOV7ewomo_OXwWh4fWipcIACqPPxXr9CllHuJmgOnCIlUKtJnZhKqkNOIkYVvv7tfTGv65F3763AAHRVVH_iFZrIF3sp3F_j287aAthBQmSMiC6BRS2Bx1uI0tkhF8SX8UIK3pyhHMdwO-rhleTXRpWTdRa9uxTQmUVwssNRQ%2F429%2Fh2pqv3d1RQ67Bfh-NIiP1A%2Fh22%2FZedfm5Rh_AWCTnBp-E3DBr2x-Lg44I5-6Y3-2rcXLGQ&amp;data=05%7C02%7C%7C217feb6faf81474831eb08dc00b512fe%7C84df9e7fe9f640afb435aaaaaaaaaaaa%7C1%7C0%7C638386025021750710%7CUnknown%7CTWFpbGZsb3d8eyJWIjoiMC4wLjAwMDAiLCJQIjoiV2luMzIiLCJBTiI6Ik1haWwiLCJXVCI6Mn0%3D%7C3000%7C%7C%7C&amp;sdata=NmEFua0kC5NsZltrgFxJrO4fAx65h6ZPoxsGVBXNu%2FI%3D&amp;reserved=0" TargetMode="External"/><Relationship Id="rId8" Type="http://schemas.openxmlformats.org/officeDocument/2006/relationships/hyperlink" Target="https://link.mail.beehiiv.com/ss/c/YHTaa2XonDw2f6U1lKEHzSnLXJlB8SSJj1Ds7-nO21BQXnPXnrhqnAQAmJradDXYZLnBKKdPad-HWdkbKRDnUjcOde4E1mnvi3xbiZHodtqFHl51zM-qboeuLEGbIGrZsNG-5GQLqAo90nnrGd0cYyGOUE-qjkZNwb5hXx8x7sQ/432/uYDT4K0OT3-IxStQIaXqyA/h10/j-oTHB534J33cMfd4xzuFQxv9MZY8I6VyXcfTN0vomQ" TargetMode="External"/><Relationship Id="rId51" Type="http://schemas.openxmlformats.org/officeDocument/2006/relationships/hyperlink" Target="https://rizzle.com/" TargetMode="External"/><Relationship Id="rId3" Type="http://schemas.openxmlformats.org/officeDocument/2006/relationships/hyperlink" Target="https://na01.safelinks.protection.outlook.com/?url=https%3A%2F%2Flink.mail.beehiiv.com%2Fss%2Fc%2F8Y-VoJkoDnX1zI1WLAgXF25C18kH-5COGF3CdUfPMzHnDoTCmjKyBLRtIldlYCmkXB4zcVCQw7pIJsvH5WvEtrkbTDq--DMEhuc8IFbbYdzK3tMp07mvDEwOXzJcvIznrSfmGt6wxW9a01gH1BUWWuhvbxt4psRavK965d1Gsf4%2F43l%2FHwMXHvz3RievO6mgT_l0CA%2Fh9%2F7ZSZbREtSFXYVTapcblbPk3d3OFXC68HvnTpYyi9AG8&amp;data=05%7C02%7C%7C4c8a7b702214462daaff08dc266d644f%7C84df9e7fe9f640afb435aaaaaaaaaaaa%7C1%7C0%7C638427498509022558%7CUnknown%7CTWFpbGZsb3d8eyJWIjoiMC4wLjAwMDAiLCJQIjoiV2luMzIiLCJBTiI6Ik1haWwiLCJXVCI6Mn0%3D%7C0%7C%7C%7C&amp;sdata=tlNNh34n0PeNkVcWZmOTVsLCf1mIA27Otp4jBaZDUGk%3D&amp;reserved=0" TargetMode="External"/><Relationship Id="rId12" Type="http://schemas.openxmlformats.org/officeDocument/2006/relationships/hyperlink" Target="https://na01.safelinks.protection.outlook.com/?url=https%3A%2F%2Flink.mail.beehiiv.com%2Fss%2Fc%2Fz0X5DY489zjmVLlFQopoHX6sPXajmNaoPbaYMrLXxZwwxbFvG0XD7ybyoAG05hIfWtHYO_EUFNENjgnqB8EwWeKcfaL9lBZRXgmf3_cnwaFDXn_ZDwcOQsZHm0Qju-Nug7QoeNt7WTx55UTFuxkl9gmSgV7ca4B5-uho9mv0NDiB7-JGIYmkvCgFJLLGkWZ9%2F42h%2F_ogS6TxZSlercL0Nc_b1Ng%2Fh21%2FNc8B06ldCWV0_ldxNX3rclCsuVjra_Cqq7oODl7T0zM&amp;data=05%7C02%7C%7Cb42a097c4c334259a52308dc06fecdce%7C84df9e7fe9f640afb435aaaaaaaaaaaa%7C1%7C0%7C638392938691976893%7CUnknown%7CTWFpbGZsb3d8eyJWIjoiMC4wLjAwMDAiLCJQIjoiV2luMzIiLCJBTiI6Ik1haWwiLCJXVCI6Mn0%3D%7C3000%7C%7C%7C&amp;sdata=UDtnkMc4vc%2FB%2F%2FWMrjKZtKHd%2BFUaXYGD1GHnFlTdJu0%3D&amp;reserved=0" TargetMode="External"/><Relationship Id="rId17" Type="http://schemas.openxmlformats.org/officeDocument/2006/relationships/hyperlink" Target="https://www.aragon.ai/" TargetMode="External"/><Relationship Id="rId25" Type="http://schemas.openxmlformats.org/officeDocument/2006/relationships/hyperlink" Target="https://na01.safelinks.protection.outlook.com/?url=https%3A%2F%2Flink.mail.beehiiv.com%2Fss%2Fc%2FoPK9TvOEo1ZeXdOJwVOhadSEINfvKsxK51Uu5bBRFR1xMizsnAFUFzqwYrpQC-tmrvJSKQr9e3RtLk_Xw_KmtOh9YOKQ9dmCWnUlxV1bf6mRcvXA4kRVFLVKI0cyAzdlzio5gibqf2PoiyN0WgYHoa_6360OKLJb1zAc2eIBnzV4FqBgrfAy3-SlUptYp-J6lV7Ubu7_X-3_IMNGmXDp141lMHXBwtytAnVuWf1IB2DHprjevFifilb3rUtJNTM2%2F43h%2F7OxjGHLcTgywXbs0oXNXLQ%2Fh9%2F0vz6Tc1VB0NMt3JgXGb_sCBW6GRXnJy9ynJDrYeWp-k&amp;data=05%7C02%7C%7C92b5a0b457a44f6603dd08dc23488154%7C84df9e7fe9f640afb435aaaaaaaaaaaa%7C1%7C0%7C638424041549953989%7CUnknown%7CTWFpbGZsb3d8eyJWIjoiMC4wLjAwMDAiLCJQIjoiV2luMzIiLCJBTiI6Ik1haWwiLCJXVCI6Mn0%3D%7C0%7C%7C%7C&amp;sdata=X4AlqBJ9vjTC1zlHbACAUYFL0v2dht4GA6%2FJ%2Bc4eLJg%3D&amp;reserved=0" TargetMode="External"/><Relationship Id="rId33" Type="http://schemas.openxmlformats.org/officeDocument/2006/relationships/hyperlink" Target="https://link.mail.beehiiv.com/ss/c/i142ipyW89EI2-TL2DD4FNglVMHBT8r6waOstSD7jzDbTgDGb9A5eI66sANVafWdiYynD_8yOF6qf4wXod122BpwJfU5dfsam0JW9nYg6LNwMOxpkY1JXYP3LB5qX2gcMb09cDxHtyT8hhgwj_xM4fmmMu-CDQDaFzTHqbzK82qqJDdqCsNOQrXvJ-Ag3bWJ/431/0J35znfFRx6STK6n_K41aA/h16/6QRXHEha2Z39LrvV87zsGq2wz1ObAp32ebTME4TA_y8" TargetMode="External"/><Relationship Id="rId38" Type="http://schemas.openxmlformats.org/officeDocument/2006/relationships/hyperlink" Target="https://na01.safelinks.protection.outlook.com/?url=https%3A%2F%2Flink.mail.beehiiv.com%2Fss%2Fc%2FAFHHY18NT0_ddKuYrElMRnygV3sXzBpdfokWsIn8io4hiq_VI97vF-kx3lI5mou2KGIqpjTOpmk579cnuqFgcs3vp-lVBUduvKmtnn0AHMuT88yEw63hSPKYNTlyv751Ii6THYW9NECA7D1Nb9GDAWnIH99Y66x0Ofn9t9a_LmbN4FxYL7F9zcVHljcE3eP-%2F42h%2F_ogS6TxZSlercL0Nc_b1Ng%2Fh18%2FcofubxPQZkfP68cBcse2FY5PC9yhjQZaoXM9p-b4NDs&amp;data=05%7C02%7C%7Cb42a097c4c334259a52308dc06fecdce%7C84df9e7fe9f640afb435aaaaaaaaaaaa%7C1%7C0%7C638392938691976893%7CUnknown%7CTWFpbGZsb3d8eyJWIjoiMC4wLjAwMDAiLCJQIjoiV2luMzIiLCJBTiI6Ik1haWwiLCJXVCI6Mn0%3D%7C3000%7C%7C%7C&amp;sdata=ZXWzllwr5L0OlvrSFNesYcvjVRisqSJHcLI0VxqoeAU%3D&amp;reserved=0" TargetMode="External"/><Relationship Id="rId46" Type="http://schemas.openxmlformats.org/officeDocument/2006/relationships/hyperlink" Target="https://www.zebracat.ai/" TargetMode="External"/><Relationship Id="rId59" Type="http://schemas.openxmlformats.org/officeDocument/2006/relationships/hyperlink" Target="https://na01.safelinks.protection.outlook.com/?url=https%3A%2F%2Flink.mail.beehiiv.com%2Fss%2Fc%2Fi142ipyW89EI2-TL2DD4FJAI8C1_wfjuaWeHIxPtYriTeB5oc1_8Uz5LQudTHoZF3tnsH4xAtpAL4xtyvHJuuCabRlU3YqnSErgz6cH7x4zVcc-oMv3KHHR-Ji9GAQTAwF-GH3Du2yrTsk7Sjm3ly_OnOMCvyTWuY5ATPl7DBzunYy3XJwoE-3TkNlbIpooLRgKahelVyDpvfKJgaZQkFQ%2F437%2F4vbfGtooTOG-XpTsrdoYDw%2Fh13%2FynK-_2chNyvkvGx3EHz14d0KJpCuoxahx6H3Y4CUenM&amp;data=05%7C02%7C%7C86c4e1f9c72b4f721b0308dc1b6c231b%7C84df9e7fe9f640afb435aaaaaaaaaaaa%7C1%7C0%7C638415398499272685%7CUnknown%7CTWFpbGZsb3d8eyJWIjoiMC4wLjAwMDAiLCJQIjoiV2luMzIiLCJBTiI6Ik1haWwiLCJXVCI6Mn0%3D%7C3000%7C%7C%7C&amp;sdata=mVNZmZ3dIwWPvbSYtH8C%2FjhYNnH7ynBpSJVuNlMUIJE%3D&amp;reserved=0" TargetMode="External"/><Relationship Id="rId20" Type="http://schemas.openxmlformats.org/officeDocument/2006/relationships/hyperlink" Target="https://diagram-generator.com/" TargetMode="External"/><Relationship Id="rId41" Type="http://schemas.openxmlformats.org/officeDocument/2006/relationships/hyperlink" Target="https://na01.safelinks.protection.outlook.com/?url=https%3A%2F%2Flink.mail.beehiiv.com%2Fss%2Fc%2FjMFTGBN48XY1wUMNWd3dQPSX-v0CZV_zqMSuOhzjnGxx1WqwUAuRUiH5rjBuCHHr2Rqq-8gzXf4zWj8dc7UIsGg6jBLUfq6SkdRXU-o-tO6X8P5LXKXw68BLLWO8cA0g24eGwiuS1Gvufb1Jn4eh3i2tJkFZw21e35Q_K7UQlsV_ux7ngOg04IT5UaTndEvh%2F429%2Fh2pqv3d1RQ67Bfh-NIiP1A%2Fh20%2FK-pKA-1TedTsa35L0MlAl07KZg9oIPGml3kIvvNZoU0&amp;data=05%7C02%7C%7C217feb6faf81474831eb08dc00b512fe%7C84df9e7fe9f640afb435aaaaaaaaaaaa%7C1%7C0%7C638386025021594445%7CUnknown%7CTWFpbGZsb3d8eyJWIjoiMC4wLjAwMDAiLCJQIjoiV2luMzIiLCJBTiI6Ik1haWwiLCJXVCI6Mn0%3D%7C3000%7C%7C%7C&amp;sdata=yDs1uGqCtUsteTea9Yagz42ll%2BS988BDWZaFXov0ssw%3D&amp;reserved=0" TargetMode="External"/><Relationship Id="rId54" Type="http://schemas.openxmlformats.org/officeDocument/2006/relationships/hyperlink" Target="https://antispace.sh/" TargetMode="External"/><Relationship Id="rId62" Type="http://schemas.openxmlformats.org/officeDocument/2006/relationships/hyperlink" Target="https://na01.safelinks.protection.outlook.com/?url=https%3A%2F%2Flink.mail.beehiiv.com%2Fss%2Fc%2F0wlcaBm-wAGbfh-p66fdvPxpgRFzpmv9sceUg7k23kAqDmXT5WFSwF-7Y3D-2AFEaPOtEOOivuJGHwjwXpERw8q4oUKQWU4SEqlMRS5JCqRseCc7LNHjJuPIdxXqWLghaCNMo5NLRfy0n1H5nWSnTSN1S4pm3Q7Hq3KXCQbHnwz0AJOMAW3TCLFMXjxO6opXyLKrm9FECUfLvRinDh3fGMgJDhtT7WOOsk8LtAITKlKmV_wHsG4spkbcAV-S8_T9%2F43h%2F7OxjGHLcTgywXbs0oXNXLQ%2Fh7%2FXHpJGcA70bsbMVSZI_UHNItm8AWFKQYWKfxHren1p-g&amp;data=05%7C02%7C%7C92b5a0b457a44f6603dd08dc23488154%7C84df9e7fe9f640afb435aaaaaaaaaaaa%7C1%7C0%7C638424041549924397%7CUnknown%7CTWFpbGZsb3d8eyJWIjoiMC4wLjAwMDAiLCJQIjoiV2luMzIiLCJBTiI6Ik1haWwiLCJXVCI6Mn0%3D%7C0%7C%7C%7C&amp;sdata=a6FuwgkWqaVCigSY%2FhfoyQ0yKnKJ2KB7wRo5xAt%2FxPQ%3D&amp;reserved=0" TargetMode="External"/><Relationship Id="rId1" Type="http://schemas.openxmlformats.org/officeDocument/2006/relationships/hyperlink" Target="https://na01.safelinks.protection.outlook.com/?url=https%3A%2F%2F31634813.bhclick.com%2Fss%2Fc%2FAFHHY18NT0_ddKuYrElMRhv05qHavjoYn-Gl_scPGDa2gH_JT9ZdRZA3QdPorVbohVmc2l3mVyIbAifIKu-ZdRbh5zoEDcmDXmu4xNIycG_PXqbl9fhoiJO2T2m5KgwtnLaURYQzYo5Hbrfa6aZdrLr0hpjBNq2JjOTLkZ1AUQP5wxf4ZRZoKScb63mbEtXALUdUk4dPPLAMaq77kYmUN8y8sroJj-JUtd-H-LF5hec%2F43o%2FTYbM0llAQ9i5NV5nw08yTw%2Fh14%2Fl5bCtQ0g_Dx1BuC8vnS9gZiYsQVPOtFDOtZpSm3E3Lw&amp;data=05%7C02%7C%7C9033785e649243c4dfaa08dc28c8a6bc%7C84df9e7fe9f640afb435aaaaaaaaaaaa%7C1%7C0%7C638430089486131997%7CUnknown%7CTWFpbGZsb3d8eyJWIjoiMC4wLjAwMDAiLCJQIjoiV2luMzIiLCJBTiI6Ik1haWwiLCJXVCI6Mn0%3D%7C0%7C%7C%7C&amp;sdata=gDBaIk9RPHQmmuAOMQqFNi4RBpyjNV2up5YYZL7jgnY%3D&amp;reserved=0" TargetMode="External"/><Relationship Id="rId6" Type="http://schemas.openxmlformats.org/officeDocument/2006/relationships/hyperlink" Target="https://na01.safelinks.protection.outlook.com/?url=https%3A%2F%2Flink.mail.beehiiv.com%2Fss%2Fc%2FAFHHY18NT0_ddKuYrElMRhWFMuV42hYsWenjxiqhUUnluaKl8SxgqWAeB3tkbYtYpdQ_GiW6o7UnhmznbCUhNw8-NvawKhSmnaTwz4DMgCbAMzHJ4dOEZwVzRIIMABBX_CtIiL_aJbJcQN73lwS3M8G6xDRMzBfE_Xp7QYH7iFJutcuvPWJjF02IBb1yrn9fuIfAuZRwMwILU_ZP3OoBFiXMvUrdwZv_g6RgiREL_Pk%2F438%2FZBlGr5r-QrKKyDaAJsM9-w%2Fh10%2F7l00GfSr8kJHPI94EJ92EoknATH5tWVFPsErPXzhN1I&amp;data=05%7C02%7C%7C77deb5ee2ccf4c319ccd08dc1c35f0ad%7C84df9e7fe9f640afb435aaaaaaaaaaaa%7C1%7C0%7C638416265236720440%7CUnknown%7CTWFpbGZsb3d8eyJWIjoiMC4wLjAwMDAiLCJQIjoiV2luMzIiLCJBTiI6Ik1haWwiLCJXVCI6Mn0%3D%7C3000%7C%7C%7C&amp;sdata=lhQlQx3oah3d5Jp3bwIuLGkIl3IMi4RNZgyx3vkqwqA%3D&amp;reserved=0" TargetMode="External"/><Relationship Id="rId15" Type="http://schemas.openxmlformats.org/officeDocument/2006/relationships/hyperlink" Target="https://pika.art/" TargetMode="External"/><Relationship Id="rId23" Type="http://schemas.openxmlformats.org/officeDocument/2006/relationships/hyperlink" Target="https://na01.safelinks.protection.outlook.com/?url=https%3A%2F%2Flink.mail.beehiiv.com%2Fss%2Fc%2Fi142ipyW89EI2-TL2DD4FITDBMNRoYFfxy52DHo9f65xGlOPGTY4fPoc8LgKtPCkmEHlkXEefq72xf2Fo0RrSid3rvGJXVGCarGcIrssu8zzctD9Ehz3_RZw4kvK8cKOtNOLa9uZJCDori6odnmaNg1wAa0F9zneS1QblVhiYv7Q0IC6Cf_jEqjNe4irbES-q1txtO2LQ2zszZDJ_uuh4A%2F43n%2FiO-pL6SiSOqAXUwE07J6jg%2Fh8%2F8ds9zdjQwaMXJfzjomu4V9ky7ua10A90_5rODM53STA&amp;data=05%7C02%7C%7Ccf9a69073011423d7bb908dc280386ca%7C84df9e7fe9f640afb435aaaaaaaaaaaa%7C1%7C0%7C638429242852194428%7CUnknown%7CTWFpbGZsb3d8eyJWIjoiMC4wLjAwMDAiLCJQIjoiV2luMzIiLCJBTiI6Ik1haWwiLCJXVCI6Mn0%3D%7C0%7C%7C%7C&amp;sdata=d8VtvV9CKNK5XpUIC5oG6KbROsuMqmPu%2Fu4KJQ7uxEQ%3D&amp;reserved=0" TargetMode="External"/><Relationship Id="rId28" Type="http://schemas.openxmlformats.org/officeDocument/2006/relationships/hyperlink" Target="https://na01.safelinks.protection.outlook.com/?url=https%3A%2F%2Flink.mail.beehiiv.com%2Fss%2Fc%2Fc7PJHcuJN9go-BId_98f2_7Kxx_aX2B28gb_lWW2ugGvOO5AzvhxPgd0sYtM3JcDpHZO8Qb9-0cThfUCF4VAstPcAuw7qaS7V40vgfIYCcx0KUd-5KLrYGvWjSs24WjaZAAF6IrA4o1DAtlguIgpIXJltpBa22HfrGXPuCQ0JgYg-a4gyOe63KxsujQWEWP_%2F43e%2FQIfQDPINSjmv2FtXeaijkg%2Fh5%2FX0mYM53UdWqP9szYZfb0-znsUsNbm54rmI80nB8MQbk&amp;data=05%7C02%7C%7Cbf82f73ec0fd4de2a8ad08dc20f45de3%7C84df9e7fe9f640afb435aaaaaaaaaaaa%7C1%7C0%7C638421481151359921%7CUnknown%7CTWFpbGZsb3d8eyJWIjoiMC4wLjAwMDAiLCJQIjoiV2luMzIiLCJBTiI6Ik1haWwiLCJXVCI6Mn0%3D%7C0%7C%7C%7C&amp;sdata=Uu68ZuZYnSJCaye78nbzWOjWAO5He8h8RyZEP04NvgU%3D&amp;reserved=0" TargetMode="External"/><Relationship Id="rId36" Type="http://schemas.openxmlformats.org/officeDocument/2006/relationships/hyperlink" Target="https://link.mail.beehiiv.com/ss/c/AFHHY18NT0_ddKuYrElMRj7UC3B9HwQLc2CUjNQAzg1m4PIl8bP68r6_Gg3qwcXvbZrVwiLSJWCB_DDPbnOjE3blTGM3wfXzUFPuvVvW-Ebm51vtCuHxD-dZmLfW37yl7FrEBC1gVQexkc-OuyDZIBt5AUZGvILHu-vad6EW38sJ_aoZpnKJKgMpI8v15snx/42j/zCbDb32ySbSS13cvqNaY0w/h6/gCF0Zv97DFnOH7o3ysL3LzgVrgbaN6qIkLCVVmB8ulU" TargetMode="External"/><Relationship Id="rId49" Type="http://schemas.openxmlformats.org/officeDocument/2006/relationships/hyperlink" Target="https://socialsignalai.com/" TargetMode="External"/><Relationship Id="rId57" Type="http://schemas.openxmlformats.org/officeDocument/2006/relationships/hyperlink" Target="https://na01.safelinks.protection.outlook.com/?url=https%3A%2F%2Flink.mail.beehiiv.com%2Fss%2Fc%2FkTklpAxml3EW3RaiF8_gQqIjyYEFngk-0d_d8EEW4-U4v0_EIYy2n3_-AvZuV6rDQIoImcmg_yF4BQqAPx1D82p3kzyoQVMUOmqqbulxkyR5wIDwEX9zqR5SFXCAqqhJlaBrzzBbPBCaFisB7ioSktgneEswHdCVfBPzosMm1TJbw0BwSvnwIXkwjeHDNkkK_fCJyRYdzOpeFg0bDI5xZA%2F43p%2FjvHr-I6eRUCnOzE4IDkryQ%2Fh10%2Fy7FmrYAXTjs0IBKr56wrXu6gdF26C8bIh_m8KUq23tc&amp;data=05%7C02%7C%7C5cce792f15a54dfab9b808dc2992240f%7C84df9e7fe9f640afb435aaaaaaaaaaaa%7C1%7C0%7C638430954878855100%7CUnknown%7CTWFpbGZsb3d8eyJWIjoiMC4wLjAwMDAiLCJQIjoiV2luMzIiLCJBTiI6Ik1haWwiLCJXVCI6Mn0%3D%7C0%7C%7C%7C&amp;sdata=jjLrf3O1odjgBQFu5Rf4VaNw%2Fgi9dRlfT7lzjw95ggc%3D&amp;reserved=0" TargetMode="External"/><Relationship Id="rId10" Type="http://schemas.openxmlformats.org/officeDocument/2006/relationships/hyperlink" Target="https://na01.safelinks.protection.outlook.com/?url=https%3A%2F%2Flink.mail.beehiiv.com%2Fss%2Fc%2FAFHHY18NT0_ddKuYrElMRrud6C07quE380HxOYBb2lUdBSxNQO0otwkoO0hxOsH79dF2HG5JIFU6KcAZlkfMbFy5yRuwX7spF8twDkZq8IKbYe6Q-TBEqM0gKKD39_YhglUfIn1QPVJkift1Bm07sddXBo4tHmAmhh_IO3EOzN8tla9P8mDPaZHnMyN3AOoV%2F42h%2F_ogS6TxZSlercL0Nc_b1Ng%2Fh17%2FGjf-Pf1_iso1KKmkUhT4tyd6fxZyzfnkfyx-YOP1jHk&amp;data=05%7C02%7C%7Cb42a097c4c334259a52308dc06fecdce%7C84df9e7fe9f640afb435aaaaaaaaaaaa%7C1%7C0%7C638392938691976893%7CUnknown%7CTWFpbGZsb3d8eyJWIjoiMC4wLjAwMDAiLCJQIjoiV2luMzIiLCJBTiI6Ik1haWwiLCJXVCI6Mn0%3D%7C3000%7C%7C%7C&amp;sdata=NeMhZ8Dm2bn%2BG03gZESWnr1ycoP2FR0TfJ3Psf2%2FvQU%3D&amp;reserved=0" TargetMode="External"/><Relationship Id="rId31" Type="http://schemas.openxmlformats.org/officeDocument/2006/relationships/hyperlink" Target="https://link.mail.beehiiv.com/ss/c/YHTaa2XonDw2f6U1lKEHzSnLXJlB8SSJj1Ds7-nO21BQXnPXnrhqnAQAmJradDXYZLnBKKdPad-HWdkbKRDnUjcOde4E1mnvi3xbiZHodtqFHl51zM-qboeuLEGbIGrZsNG-5GQLqAo90nnrGd0cYyGOUE-qjkZNwb5hXx8x7sQ/432/uYDT4K0OT3-IxStQIaXqyA/h10/j-oTHB534J33cMfd4xzuFQxv9MZY8I6VyXcfTN0vomQ" TargetMode="External"/><Relationship Id="rId44" Type="http://schemas.openxmlformats.org/officeDocument/2006/relationships/hyperlink" Target="https://blackforestlabs.ai/tools-home/" TargetMode="External"/><Relationship Id="rId52" Type="http://schemas.openxmlformats.org/officeDocument/2006/relationships/hyperlink" Target="https://riverside.fm/" TargetMode="External"/><Relationship Id="rId60" Type="http://schemas.openxmlformats.org/officeDocument/2006/relationships/hyperlink" Target="https://na01.safelinks.protection.outlook.com/?url=https%3A%2F%2Flink.mail.beehiiv.com%2Fss%2Fc%2FAFHHY18NT0_ddKuYrElMRu224FS-M3i6cn2QtB65WavqgkwZQHx4m9hr1qcZskjuQN9pF6HhFJzyje_TrpYntZuShTAgSd1xIQxFBbiX3I1BY593bXXWILDwGFb2hCrRjAD1YHb0okEZjpxMW45XPuwmW-Q-RvLQ7w8MrKDcIzeKhQvZvdor6w-OD3PlMbumj5DBUIWhBWSq10eAwD5s2A%2F43g%2FQcjk83mMQvO9rrwO7Q77Sg%2Fh9%2FXfKOLPhuj0xXiSQc9kh0_lUAyxfunRhNqEukoG3rfMI&amp;data=05%7C02%7C%7C10d9f89712e243b44f0908dc2283399d%7C84df9e7fe9f640afb435aaaaaaaaaaaa%7C1%7C0%7C638423194224376466%7CUnknown%7CTWFpbGZsb3d8eyJWIjoiMC4wLjAwMDAiLCJQIjoiV2luMzIiLCJBTiI6Ik1haWwiLCJXVCI6Mn0%3D%7C0%7C%7C%7C&amp;sdata=Pnhn1m2m3w3J44jD67YjRtEk8OCvyyUM%2B%2FGKD52y%2Fq4%3D&amp;reserved=0" TargetMode="External"/><Relationship Id="rId65" Type="http://schemas.openxmlformats.org/officeDocument/2006/relationships/hyperlink" Target="https://na01.safelinks.protection.outlook.com/?url=https%3A%2F%2Flink.mail.beehiiv.com%2Fss%2Fc%2F0wlcaBm-wAGbfh-p66fdvPxpgRFzpmv9sceUg7k23kAqDmXT5WFSwF-7Y3D-2AFEaPOtEOOivuJGHwjwXpERw8q4oUKQWU4SEqlMRS5JCqRseCc7LNHjJuPIdxXqWLghaCNMo5NLRfy0n1H5nWSnTSN1S4pm3Q7Hq3KXCQbHnwz0AJOMAW3TCLFMXjxO6opXyLKrm9FECUfLvRinDh3fGMgJDhtT7WOOsk8LtAITKlKmV_wHsG4spkbcAV-S8_T9%2F43h%2F7OxjGHLcTgywXbs0oXNXLQ%2Fh7%2FXHpJGcA70bsbMVSZI_UHNItm8AWFKQYWKfxHren1p-g&amp;data=05%7C02%7C%7C92b5a0b457a44f6603dd08dc23488154%7C84df9e7fe9f640afb435aaaaaaaaaaaa%7C1%7C0%7C638424041549924397%7CUnknown%7CTWFpbGZsb3d8eyJWIjoiMC4wLjAwMDAiLCJQIjoiV2luMzIiLCJBTiI6Ik1haWwiLCJXVCI6Mn0%3D%7C0%7C%7C%7C&amp;sdata=a6FuwgkWqaVCigSY%2FhfoyQ0yKnKJ2KB7wRo5xAt%2FxPQ%3D&amp;reserved=0" TargetMode="External"/><Relationship Id="rId4" Type="http://schemas.openxmlformats.org/officeDocument/2006/relationships/hyperlink" Target="https://na01.safelinks.protection.outlook.com/?url=https%3A%2F%2Flink.mail.beehiiv.com%2Fss%2Fc%2Fi142ipyW89EI2-TL2DD4FO_4AdYuJEarwNcD3w_h1ImOaM7s9Jv22bsmQS4YTZH7XxQB4WJ7j8nARW2UHiL4itsE1wtYaL1s6WHSIk8MqX7qonAWYbQbXyjoJIyEdQgXz5yy-yPz4cum87u3NMdAeLZZunEyS39VzKdqYgu3kccZ1CReQiGyokzIKxd4tZ1bKXxX9WQi4auPa7cyGvANTJUspTpD3wcBcNe6h9gHvIprDLZN8lv5UBWFE_JsAK9AITRNMG8NkYXtbo6wI1Tgmg%2F43h%2F7OxjGHLcTgywXbs0oXNXLQ%2Fh10%2FXKq1p7wTCr_0VTFA-OoEMczS1YX7_z3vou_9NYy6oec&amp;data=05%7C02%7C%7C92b5a0b457a44f6603dd08dc23488154%7C84df9e7fe9f640afb435aaaaaaaaaaaa%7C1%7C0%7C638424041549968244%7CUnknown%7CTWFpbGZsb3d8eyJWIjoiMC4wLjAwMDAiLCJQIjoiV2luMzIiLCJBTiI6Ik1haWwiLCJXVCI6Mn0%3D%7C0%7C%7C%7C&amp;sdata=%2FZKOhN%2FW6XRe3vAH2TdhXHMB%2Bql3SRa4NuvOjFcuIqg%3D&amp;reserved=0" TargetMode="External"/><Relationship Id="rId9" Type="http://schemas.openxmlformats.org/officeDocument/2006/relationships/hyperlink" Target="https://link.mail.beehiiv.com/ss/c/AFHHY18NT0_ddKuYrElMRugVC4tEqXSmcvdGi_Pkx5Hbq5tD40AbFoo1XpnGiqOLVlRKPNUbxqXwVomIK8y4nh86K5PZQFx8ujpBNl_qTTKE5bgSu4OX3fnbFnbF4X2MNvfmOb1sZXPlvFTeZDb_76iJ-de3WBsuoNsBD4oTWAI/42n/9aXz3kL9RF6U874vSWwJ_w/h19/zMRQRJ7UumPQcg5aJ7uzLaYmjZ79-5IbORgdMtQJOTA" TargetMode="External"/><Relationship Id="rId13" Type="http://schemas.openxmlformats.org/officeDocument/2006/relationships/hyperlink" Target="https://na01.safelinks.protection.outlook.com/?url=https%3A%2F%2Flink.mail.beehiiv.com%2Fss%2Fc%2FjMFTGBN48XY1wUMNWd3dQPSX-v0CZV_zqMSuOhzjnGxx1WqwUAuRUiH5rjBuCHHr2Rqq-8gzXf4zWj8dc7UIsGg6jBLUfq6SkdRXU-o-tO6X8P5LXKXw68BLLWO8cA0g24eGwiuS1Gvufb1Jn4eh3i2tJkFZw21e35Q_K7UQlsV_ux7ngOg04IT5UaTndEvh%2F429%2Fh2pqv3d1RQ67Bfh-NIiP1A%2Fh20%2FK-pKA-1TedTsa35L0MlAl07KZg9oIPGml3kIvvNZoU0&amp;data=05%7C02%7C%7C217feb6faf81474831eb08dc00b512fe%7C84df9e7fe9f640afb435aaaaaaaaaaaa%7C1%7C0%7C638386025021594445%7CUnknown%7CTWFpbGZsb3d8eyJWIjoiMC4wLjAwMDAiLCJQIjoiV2luMzIiLCJBTiI6Ik1haWwiLCJXVCI6Mn0%3D%7C3000%7C%7C%7C&amp;sdata=yDs1uGqCtUsteTea9Yagz42ll%2BS988BDWZaFXov0ssw%3D&amp;reserved=0" TargetMode="External"/><Relationship Id="rId18" Type="http://schemas.openxmlformats.org/officeDocument/2006/relationships/hyperlink" Target="https://venngage.com/" TargetMode="External"/><Relationship Id="rId39" Type="http://schemas.openxmlformats.org/officeDocument/2006/relationships/hyperlink" Target="https://na01.safelinks.protection.outlook.com/?url=https%3A%2F%2Flink.mail.beehiiv.com%2Fss%2Fc%2FAFHHY18NT0_ddKuYrElMRny9TH-VJRCMjOkTjnem8dEzm6QKrlq6XLwUX9_eUs63UAujduDWGFi-JLPmvXj3HQwghTHz9Fccgnxd8f9As_M5aXstBPq9GFqiN3b3X-qSqiptcR4GXeMOblTyt8HxLRRs0sXlTqcKjB_mvNQF-8evwNYT6CZqYIgyzEMMtGaD%2F42h%2F_ogS6TxZSlercL0Nc_b1Ng%2Fh19%2F16UkU9xNlMgSnQA-gFOcfxQiKHyORPGmKKP4XEAQ7q8&amp;data=05%7C02%7C%7Cb42a097c4c334259a52308dc06fecdce%7C84df9e7fe9f640afb435aaaaaaaaaaaa%7C1%7C0%7C638392938691976893%7CUnknown%7CTWFpbGZsb3d8eyJWIjoiMC4wLjAwMDAiLCJQIjoiV2luMzIiLCJBTiI6Ik1haWwiLCJXVCI6Mn0%3D%7C3000%7C%7C%7C&amp;sdata=MsByCoT9xvd4GyfVj6%2FivtOJ2grLSkJzM5afT4Omxok%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L61"/>
  <sheetViews>
    <sheetView workbookViewId="0">
      <selection activeCell="C17" sqref="C17"/>
    </sheetView>
  </sheetViews>
  <sheetFormatPr defaultColWidth="9.140625" defaultRowHeight="15"/>
  <cols>
    <col min="1" max="1" width="5.7109375" style="126" customWidth="1"/>
    <col min="2" max="2" width="29.5703125" style="126" bestFit="1" customWidth="1"/>
    <col min="3" max="3" width="31.28515625" style="107" customWidth="1"/>
    <col min="4" max="4" width="17.42578125" style="126" customWidth="1"/>
    <col min="5" max="5" width="39.5703125" style="107" customWidth="1"/>
    <col min="6" max="6" width="76.28515625" style="107" customWidth="1"/>
    <col min="7" max="7" width="2.140625" style="126" bestFit="1" customWidth="1"/>
    <col min="8" max="8" width="63.85546875" style="126" customWidth="1"/>
    <col min="9" max="9" width="2.5703125" style="126" bestFit="1" customWidth="1"/>
    <col min="10" max="10" width="41.5703125" style="126" customWidth="1"/>
    <col min="11" max="11" width="2.140625" style="126" bestFit="1" customWidth="1"/>
    <col min="12" max="12" width="64" style="107" customWidth="1"/>
    <col min="13" max="13" width="2.28515625" style="126" bestFit="1" customWidth="1"/>
    <col min="14" max="14" width="65.140625" style="107" customWidth="1"/>
    <col min="15" max="15" width="2.5703125" style="126" bestFit="1" customWidth="1"/>
    <col min="16" max="16" width="73.140625" style="107" customWidth="1"/>
    <col min="17" max="17" width="2.5703125" style="126" customWidth="1"/>
    <col min="18" max="18" width="60.5703125" style="107" customWidth="1"/>
    <col min="19" max="19" width="2.5703125" style="126" customWidth="1"/>
    <col min="20" max="20" width="42.85546875" style="107" customWidth="1"/>
    <col min="21" max="21" width="2.5703125" style="126" customWidth="1"/>
    <col min="22" max="22" width="60.5703125" style="107" customWidth="1"/>
    <col min="23" max="23" width="2.5703125" style="126" bestFit="1" customWidth="1"/>
    <col min="24" max="24" width="51.42578125" style="107" customWidth="1"/>
    <col min="25" max="25" width="2.5703125" style="126" bestFit="1" customWidth="1"/>
    <col min="26" max="26" width="61.85546875" style="107" customWidth="1"/>
    <col min="27" max="27" width="2.5703125" style="126" bestFit="1" customWidth="1"/>
    <col min="28" max="28" width="68.140625" style="107" customWidth="1"/>
    <col min="29" max="29" width="2.5703125" style="126" bestFit="1" customWidth="1"/>
    <col min="30" max="30" width="38.42578125" style="107" customWidth="1"/>
    <col min="31" max="31" width="2.5703125" style="126" bestFit="1" customWidth="1"/>
    <col min="32" max="32" width="69.7109375" style="107" customWidth="1"/>
    <col min="33" max="33" width="2.5703125" style="126" bestFit="1" customWidth="1"/>
    <col min="34" max="34" width="61.28515625" style="107" customWidth="1"/>
    <col min="35" max="35" width="2.85546875" style="126" bestFit="1" customWidth="1"/>
    <col min="36" max="36" width="46.140625" style="107" customWidth="1"/>
    <col min="37" max="37" width="29.140625" style="126" bestFit="1" customWidth="1"/>
    <col min="38" max="38" width="89.85546875" style="107" customWidth="1"/>
    <col min="39" max="39" width="9.140625" style="126" customWidth="1"/>
    <col min="40" max="16384" width="9.140625" style="126"/>
  </cols>
  <sheetData>
    <row r="2" spans="2:38" ht="18.600000000000001" customHeight="1">
      <c r="B2" s="401"/>
      <c r="C2" s="412" t="s">
        <v>0</v>
      </c>
      <c r="D2" s="413"/>
      <c r="G2" s="401"/>
      <c r="H2" s="401"/>
      <c r="I2" s="401"/>
      <c r="J2" s="401"/>
      <c r="K2" s="401"/>
      <c r="M2" s="401"/>
      <c r="O2" s="401"/>
      <c r="Q2" s="401"/>
      <c r="S2" s="401"/>
      <c r="U2" s="401"/>
      <c r="W2" s="401"/>
      <c r="Y2" s="401"/>
      <c r="AA2" s="401"/>
      <c r="AC2" s="401"/>
      <c r="AE2" s="401"/>
      <c r="AG2" s="401"/>
      <c r="AI2" s="401"/>
      <c r="AK2" s="401"/>
    </row>
    <row r="3" spans="2:38">
      <c r="B3" s="401"/>
      <c r="C3" s="131" t="s">
        <v>1</v>
      </c>
      <c r="D3" s="129" t="s">
        <v>2</v>
      </c>
      <c r="G3" s="401"/>
      <c r="H3" s="401"/>
      <c r="I3" s="401"/>
      <c r="J3" s="401"/>
      <c r="K3" s="401"/>
      <c r="M3" s="401"/>
      <c r="O3" s="401"/>
      <c r="Q3" s="401"/>
      <c r="S3" s="401"/>
      <c r="U3" s="401"/>
      <c r="W3" s="401"/>
      <c r="Y3" s="401"/>
      <c r="AA3" s="401"/>
      <c r="AC3" s="401"/>
      <c r="AE3" s="401"/>
      <c r="AG3" s="401"/>
      <c r="AI3" s="401"/>
      <c r="AK3" s="401"/>
    </row>
    <row r="4" spans="2:38">
      <c r="B4" s="401"/>
      <c r="C4" s="131" t="s">
        <v>3</v>
      </c>
      <c r="D4" s="129" t="s">
        <v>4</v>
      </c>
      <c r="G4" s="401"/>
      <c r="H4" s="401"/>
      <c r="I4" s="401"/>
      <c r="J4" s="401"/>
      <c r="K4" s="401"/>
      <c r="M4" s="401"/>
      <c r="O4" s="401"/>
      <c r="Q4" s="401"/>
      <c r="S4" s="401"/>
      <c r="U4" s="401"/>
      <c r="W4" s="401"/>
      <c r="Y4" s="401"/>
      <c r="AA4" s="401"/>
      <c r="AC4" s="401"/>
      <c r="AE4" s="401"/>
      <c r="AG4" s="401"/>
      <c r="AI4" s="401"/>
      <c r="AK4" s="401"/>
    </row>
    <row r="5" spans="2:38">
      <c r="B5" s="401"/>
      <c r="C5" s="401"/>
      <c r="D5" s="401"/>
      <c r="G5" s="401"/>
      <c r="H5" s="401"/>
      <c r="I5" s="401"/>
      <c r="J5" s="401"/>
      <c r="K5" s="401"/>
      <c r="M5" s="401"/>
      <c r="O5" s="401"/>
      <c r="Q5" s="401"/>
      <c r="S5" s="401"/>
      <c r="U5" s="401"/>
      <c r="W5" s="401"/>
      <c r="Y5" s="401"/>
      <c r="AA5" s="401"/>
      <c r="AC5" s="401"/>
      <c r="AE5" s="401"/>
      <c r="AG5" s="401"/>
      <c r="AI5" s="401"/>
      <c r="AK5" s="401"/>
    </row>
    <row r="7" spans="2:38" s="132" customFormat="1" ht="33" customHeight="1">
      <c r="B7" s="133" t="s">
        <v>5</v>
      </c>
      <c r="C7" s="402" t="s">
        <v>6</v>
      </c>
      <c r="D7" s="403" t="s">
        <v>1</v>
      </c>
      <c r="E7" s="134" t="s">
        <v>7</v>
      </c>
      <c r="F7" s="134" t="s">
        <v>8</v>
      </c>
      <c r="G7" s="414" t="s">
        <v>9</v>
      </c>
      <c r="H7" s="417"/>
      <c r="I7" s="415" t="s">
        <v>10</v>
      </c>
      <c r="J7" s="418"/>
      <c r="K7" s="416" t="s">
        <v>11</v>
      </c>
      <c r="L7" s="418"/>
      <c r="M7" s="416" t="s">
        <v>12</v>
      </c>
      <c r="N7" s="418"/>
      <c r="O7" s="411" t="s">
        <v>13</v>
      </c>
      <c r="P7" s="418"/>
      <c r="Q7" s="411" t="s">
        <v>14</v>
      </c>
      <c r="R7" s="418"/>
      <c r="S7" s="411" t="s">
        <v>15</v>
      </c>
      <c r="T7" s="418"/>
      <c r="U7" s="411" t="s">
        <v>16</v>
      </c>
      <c r="V7" s="418"/>
      <c r="W7" s="411" t="s">
        <v>17</v>
      </c>
      <c r="X7" s="418"/>
      <c r="Y7" s="416" t="s">
        <v>18</v>
      </c>
      <c r="Z7" s="418"/>
      <c r="AA7" s="411" t="s">
        <v>19</v>
      </c>
      <c r="AB7" s="418"/>
      <c r="AC7" s="411" t="s">
        <v>20</v>
      </c>
      <c r="AD7" s="418"/>
      <c r="AE7" s="411" t="s">
        <v>21</v>
      </c>
      <c r="AF7" s="418"/>
      <c r="AG7" s="411" t="s">
        <v>22</v>
      </c>
      <c r="AH7" s="418"/>
      <c r="AI7" s="411" t="s">
        <v>23</v>
      </c>
      <c r="AJ7" s="418"/>
      <c r="AK7" s="403" t="s">
        <v>24</v>
      </c>
      <c r="AL7" s="135" t="s">
        <v>25</v>
      </c>
    </row>
    <row r="8" spans="2:38" s="107" customFormat="1" ht="72.599999999999994" customHeight="1">
      <c r="B8" s="128" t="str">
        <f t="array" ref="B8:AA8">_xlfn._xlws.FILTER(Companies!A3:AA133,(Companies!C3:C133=$D$3)*(Companies!I3:I133=$D$4),"No results")</f>
        <v>Digire</v>
      </c>
      <c r="C8" s="136" t="str">
        <v>https://digire.ai</v>
      </c>
      <c r="D8" s="130" t="str">
        <v>International, Local</v>
      </c>
      <c r="E8" s="127" t="str">
        <v>UNVERIFIED</v>
      </c>
      <c r="F8" s="127" t="str">
        <v>Integration / data platform</v>
      </c>
      <c r="G8" s="128" t="str">
        <v>Shipment tracking platform for relocations and supply chains with visibility and ETA tracking.</v>
      </c>
      <c r="H8" s="130">
        <v>0.20833333333333331</v>
      </c>
      <c r="I8" s="107">
        <v>0</v>
      </c>
      <c r="J8" s="130" t="str">
        <v>N</v>
      </c>
      <c r="K8" s="107" t="str">
        <v>N</v>
      </c>
      <c r="L8" s="130" t="str">
        <v>N</v>
      </c>
      <c r="M8" s="107">
        <v>0.33333333333333331</v>
      </c>
      <c r="N8" s="130" t="str">
        <v>N</v>
      </c>
      <c r="O8" s="107" t="str">
        <v>Y</v>
      </c>
      <c r="P8" s="130" t="str">
        <v>N</v>
      </c>
      <c r="Q8" s="107">
        <v>0.25</v>
      </c>
      <c r="R8" s="130" t="str">
        <v>N</v>
      </c>
      <c r="S8" s="107" t="str">
        <v>Y</v>
      </c>
      <c r="T8" s="130" t="str">
        <v>N</v>
      </c>
      <c r="U8" s="107" t="str">
        <v>N</v>
      </c>
      <c r="V8" s="130">
        <v>0.25</v>
      </c>
      <c r="W8" s="107" t="str">
        <v>N</v>
      </c>
      <c r="X8" s="130" t="str">
        <v>N</v>
      </c>
      <c r="Y8" s="107" t="str">
        <v>Y</v>
      </c>
      <c r="Z8" s="130" t="str">
        <v>N</v>
      </c>
      <c r="AA8" s="107" t="str">
        <v>Web Based</v>
      </c>
      <c r="AB8" s="130"/>
      <c r="AD8" s="130"/>
      <c r="AF8" s="130"/>
      <c r="AH8" s="130"/>
      <c r="AJ8" s="130"/>
      <c r="AK8" s="130"/>
      <c r="AL8" s="128"/>
    </row>
    <row r="9" spans="2:38" s="107" customFormat="1" ht="29.1" customHeight="1">
      <c r="B9" s="128"/>
      <c r="C9" s="136"/>
      <c r="D9" s="130"/>
      <c r="E9" s="127"/>
      <c r="F9" s="127"/>
      <c r="G9" s="128"/>
      <c r="H9" s="130"/>
      <c r="J9" s="130"/>
      <c r="L9" s="130"/>
      <c r="N9" s="130"/>
      <c r="P9" s="130"/>
      <c r="R9" s="130"/>
      <c r="T9" s="130"/>
      <c r="V9" s="130"/>
      <c r="X9" s="130"/>
      <c r="Z9" s="130"/>
      <c r="AB9" s="130"/>
      <c r="AD9" s="130"/>
      <c r="AF9" s="130"/>
      <c r="AH9" s="130"/>
      <c r="AJ9" s="130"/>
      <c r="AK9" s="130"/>
      <c r="AL9" s="128"/>
    </row>
    <row r="10" spans="2:38" s="107" customFormat="1" ht="57.95" customHeight="1">
      <c r="B10" s="128"/>
      <c r="C10" s="136"/>
      <c r="D10" s="130"/>
      <c r="E10" s="127"/>
      <c r="F10" s="127"/>
      <c r="G10" s="128"/>
      <c r="H10" s="130"/>
      <c r="J10" s="130"/>
      <c r="L10" s="130"/>
      <c r="N10" s="130"/>
      <c r="P10" s="130"/>
      <c r="R10" s="130"/>
      <c r="T10" s="130"/>
      <c r="V10" s="130"/>
      <c r="X10" s="130"/>
      <c r="Z10" s="130"/>
      <c r="AB10" s="130"/>
      <c r="AD10" s="130"/>
      <c r="AF10" s="130"/>
      <c r="AH10" s="130"/>
      <c r="AJ10" s="130"/>
      <c r="AK10" s="130"/>
      <c r="AL10" s="128"/>
    </row>
    <row r="11" spans="2:38" s="107" customFormat="1">
      <c r="B11" s="128"/>
      <c r="C11" s="136"/>
      <c r="D11" s="130"/>
      <c r="E11" s="127"/>
      <c r="F11" s="127"/>
      <c r="G11" s="128"/>
      <c r="H11" s="130"/>
      <c r="J11" s="130"/>
      <c r="L11" s="130"/>
      <c r="N11" s="130"/>
      <c r="P11" s="130"/>
      <c r="R11" s="130"/>
      <c r="T11" s="130"/>
      <c r="V11" s="130"/>
      <c r="X11" s="130"/>
      <c r="Z11" s="130"/>
      <c r="AB11" s="130"/>
      <c r="AD11" s="130"/>
      <c r="AF11" s="130"/>
      <c r="AH11" s="130"/>
      <c r="AJ11" s="130"/>
      <c r="AK11" s="130"/>
      <c r="AL11" s="128"/>
    </row>
    <row r="12" spans="2:38" s="107" customFormat="1">
      <c r="B12" s="128"/>
      <c r="C12" s="136"/>
      <c r="D12" s="130"/>
      <c r="E12" s="127"/>
      <c r="F12" s="127"/>
      <c r="G12" s="128"/>
      <c r="H12" s="130"/>
      <c r="J12" s="130"/>
      <c r="L12" s="130"/>
      <c r="N12" s="130"/>
      <c r="P12" s="130"/>
      <c r="R12" s="130"/>
      <c r="T12" s="130"/>
      <c r="V12" s="130"/>
      <c r="X12" s="130"/>
      <c r="Z12" s="130"/>
      <c r="AB12" s="130"/>
      <c r="AD12" s="130"/>
      <c r="AF12" s="130"/>
      <c r="AH12" s="130"/>
      <c r="AJ12" s="130"/>
      <c r="AK12" s="130"/>
      <c r="AL12" s="128"/>
    </row>
    <row r="13" spans="2:38" s="107" customFormat="1">
      <c r="B13" s="128"/>
      <c r="C13" s="136"/>
      <c r="D13" s="130"/>
      <c r="E13" s="127"/>
      <c r="F13" s="127"/>
      <c r="G13" s="128"/>
      <c r="H13" s="130"/>
      <c r="J13" s="130"/>
      <c r="L13" s="130"/>
      <c r="N13" s="130"/>
      <c r="P13" s="130"/>
      <c r="R13" s="130"/>
      <c r="T13" s="130"/>
      <c r="V13" s="130"/>
      <c r="X13" s="130"/>
      <c r="Z13" s="130"/>
      <c r="AB13" s="130"/>
      <c r="AD13" s="130"/>
      <c r="AF13" s="130"/>
      <c r="AH13" s="130"/>
      <c r="AJ13" s="130"/>
      <c r="AK13" s="130"/>
      <c r="AL13" s="128"/>
    </row>
    <row r="14" spans="2:38" s="107" customFormat="1">
      <c r="B14" s="128"/>
      <c r="C14" s="136"/>
      <c r="D14" s="130"/>
      <c r="E14" s="127"/>
      <c r="F14" s="127"/>
      <c r="G14" s="128"/>
      <c r="H14" s="130"/>
      <c r="J14" s="130"/>
      <c r="L14" s="130"/>
      <c r="N14" s="130"/>
      <c r="P14" s="130"/>
      <c r="R14" s="130"/>
      <c r="T14" s="130"/>
      <c r="V14" s="130"/>
      <c r="X14" s="130"/>
      <c r="Z14" s="130"/>
      <c r="AB14" s="130"/>
      <c r="AD14" s="130"/>
      <c r="AF14" s="130"/>
      <c r="AH14" s="130"/>
      <c r="AJ14" s="130"/>
      <c r="AK14" s="130"/>
      <c r="AL14" s="128"/>
    </row>
    <row r="15" spans="2:38" s="107" customFormat="1">
      <c r="B15" s="128"/>
      <c r="C15" s="136"/>
      <c r="D15" s="130"/>
      <c r="E15" s="127"/>
      <c r="F15" s="127"/>
      <c r="G15" s="128"/>
      <c r="H15" s="130"/>
      <c r="J15" s="130"/>
      <c r="L15" s="130"/>
      <c r="N15" s="130"/>
      <c r="P15" s="130"/>
      <c r="R15" s="130"/>
      <c r="T15" s="130"/>
      <c r="V15" s="130"/>
      <c r="X15" s="130"/>
      <c r="Z15" s="130"/>
      <c r="AB15" s="130"/>
      <c r="AD15" s="130"/>
      <c r="AF15" s="130"/>
      <c r="AH15" s="130"/>
      <c r="AJ15" s="130"/>
      <c r="AK15" s="130"/>
      <c r="AL15" s="128"/>
    </row>
    <row r="16" spans="2:38" s="107" customFormat="1">
      <c r="B16" s="128"/>
      <c r="C16" s="136"/>
      <c r="D16" s="130"/>
      <c r="E16" s="127"/>
      <c r="F16" s="127"/>
      <c r="G16" s="128"/>
      <c r="H16" s="130"/>
      <c r="J16" s="130"/>
      <c r="L16" s="130"/>
      <c r="N16" s="130"/>
      <c r="P16" s="130"/>
      <c r="R16" s="130"/>
      <c r="T16" s="130"/>
      <c r="V16" s="130"/>
      <c r="X16" s="130"/>
      <c r="Z16" s="130"/>
      <c r="AB16" s="130"/>
      <c r="AD16" s="130"/>
      <c r="AF16" s="130"/>
      <c r="AH16" s="130"/>
      <c r="AJ16" s="130"/>
      <c r="AK16" s="130"/>
      <c r="AL16" s="128"/>
    </row>
    <row r="17" spans="1:38" s="107" customFormat="1">
      <c r="B17" s="128"/>
      <c r="C17" s="136"/>
      <c r="D17" s="130"/>
      <c r="E17" s="127"/>
      <c r="F17" s="127"/>
      <c r="G17" s="128"/>
      <c r="H17" s="130"/>
      <c r="J17" s="130"/>
      <c r="L17" s="130"/>
      <c r="N17" s="130"/>
      <c r="P17" s="130"/>
      <c r="R17" s="130"/>
      <c r="T17" s="130"/>
      <c r="V17" s="130"/>
      <c r="X17" s="130"/>
      <c r="Z17" s="130"/>
      <c r="AB17" s="130"/>
      <c r="AD17" s="130"/>
      <c r="AF17" s="130"/>
      <c r="AH17" s="130"/>
      <c r="AJ17" s="130"/>
      <c r="AK17" s="130"/>
      <c r="AL17" s="128"/>
    </row>
    <row r="18" spans="1:38" s="107" customFormat="1">
      <c r="B18" s="128"/>
      <c r="C18" s="136"/>
      <c r="D18" s="130"/>
      <c r="E18" s="127"/>
      <c r="F18" s="127"/>
      <c r="G18" s="128"/>
      <c r="H18" s="130"/>
      <c r="J18" s="130"/>
      <c r="L18" s="130"/>
      <c r="N18" s="130"/>
      <c r="P18" s="130"/>
      <c r="R18" s="130"/>
      <c r="T18" s="130"/>
      <c r="V18" s="130"/>
      <c r="X18" s="130"/>
      <c r="Z18" s="130"/>
      <c r="AB18" s="130"/>
      <c r="AD18" s="130"/>
      <c r="AF18" s="130"/>
      <c r="AH18" s="130"/>
      <c r="AJ18" s="130"/>
      <c r="AK18" s="130"/>
      <c r="AL18" s="128"/>
    </row>
    <row r="19" spans="1:38" s="107" customFormat="1">
      <c r="B19" s="128"/>
      <c r="C19" s="136"/>
      <c r="D19" s="130"/>
      <c r="E19" s="127"/>
      <c r="F19" s="127"/>
      <c r="G19" s="128"/>
      <c r="H19" s="130"/>
      <c r="J19" s="130"/>
      <c r="L19" s="130"/>
      <c r="N19" s="130"/>
      <c r="P19" s="130"/>
      <c r="R19" s="130"/>
      <c r="T19" s="130"/>
      <c r="V19" s="130"/>
      <c r="X19" s="130"/>
      <c r="Z19" s="130"/>
      <c r="AB19" s="130"/>
      <c r="AD19" s="130"/>
      <c r="AF19" s="130"/>
      <c r="AH19" s="130"/>
      <c r="AJ19" s="130"/>
      <c r="AK19" s="130"/>
      <c r="AL19" s="128"/>
    </row>
    <row r="20" spans="1:38" s="107" customFormat="1">
      <c r="B20" s="128"/>
      <c r="C20" s="136"/>
      <c r="D20" s="130"/>
      <c r="E20" s="127"/>
      <c r="F20" s="127"/>
      <c r="G20" s="128"/>
      <c r="H20" s="130"/>
      <c r="J20" s="130"/>
      <c r="L20" s="130"/>
      <c r="N20" s="130"/>
      <c r="P20" s="130"/>
      <c r="R20" s="130"/>
      <c r="T20" s="130"/>
      <c r="V20" s="130"/>
      <c r="X20" s="130"/>
      <c r="Z20" s="130"/>
      <c r="AB20" s="130"/>
      <c r="AD20" s="130"/>
      <c r="AF20" s="130"/>
      <c r="AH20" s="130"/>
      <c r="AJ20" s="130"/>
      <c r="AK20" s="130"/>
      <c r="AL20" s="128"/>
    </row>
    <row r="21" spans="1:38" s="107" customFormat="1">
      <c r="B21" s="128"/>
      <c r="C21" s="136"/>
      <c r="D21" s="130"/>
      <c r="E21" s="127"/>
      <c r="F21" s="127"/>
      <c r="G21" s="128"/>
      <c r="H21" s="130"/>
      <c r="J21" s="130"/>
      <c r="L21" s="130"/>
      <c r="N21" s="130"/>
      <c r="P21" s="130"/>
      <c r="R21" s="130"/>
      <c r="T21" s="130"/>
      <c r="V21" s="130"/>
      <c r="X21" s="130"/>
      <c r="Z21" s="130"/>
      <c r="AB21" s="130"/>
      <c r="AD21" s="130"/>
      <c r="AF21" s="130"/>
      <c r="AH21" s="130"/>
      <c r="AJ21" s="130"/>
      <c r="AK21" s="130"/>
      <c r="AL21" s="128"/>
    </row>
    <row r="22" spans="1:38" s="107" customFormat="1">
      <c r="B22" s="128"/>
      <c r="C22" s="136"/>
      <c r="D22" s="130"/>
      <c r="E22" s="127"/>
      <c r="F22" s="127"/>
      <c r="G22" s="128"/>
      <c r="H22" s="130"/>
      <c r="J22" s="130"/>
      <c r="L22" s="130"/>
      <c r="N22" s="130"/>
      <c r="P22" s="130"/>
      <c r="R22" s="130"/>
      <c r="T22" s="130"/>
      <c r="V22" s="130"/>
      <c r="X22" s="130"/>
      <c r="Z22" s="130"/>
      <c r="AB22" s="130"/>
      <c r="AD22" s="130"/>
      <c r="AF22" s="130"/>
      <c r="AH22" s="130"/>
      <c r="AJ22" s="130"/>
      <c r="AK22" s="130"/>
      <c r="AL22" s="128"/>
    </row>
    <row r="23" spans="1:38" s="107" customFormat="1">
      <c r="B23" s="128"/>
      <c r="C23" s="136"/>
      <c r="D23" s="130"/>
      <c r="E23" s="127"/>
      <c r="F23" s="127"/>
      <c r="G23" s="128"/>
      <c r="H23" s="130"/>
      <c r="J23" s="130"/>
      <c r="L23" s="130"/>
      <c r="N23" s="130"/>
      <c r="P23" s="130"/>
      <c r="R23" s="130"/>
      <c r="T23" s="130"/>
      <c r="V23" s="130"/>
      <c r="X23" s="130"/>
      <c r="Z23" s="130"/>
      <c r="AB23" s="130"/>
      <c r="AD23" s="130"/>
      <c r="AF23" s="130"/>
      <c r="AH23" s="130"/>
      <c r="AJ23" s="130"/>
      <c r="AK23" s="130"/>
      <c r="AL23" s="128"/>
    </row>
    <row r="24" spans="1:38" s="107" customFormat="1">
      <c r="B24" s="128"/>
      <c r="C24" s="136"/>
      <c r="D24" s="130"/>
      <c r="E24" s="127"/>
      <c r="F24" s="127"/>
      <c r="G24" s="128"/>
      <c r="H24" s="130"/>
      <c r="J24" s="130"/>
      <c r="L24" s="130"/>
      <c r="N24" s="130"/>
      <c r="P24" s="130"/>
      <c r="R24" s="130"/>
      <c r="T24" s="130"/>
      <c r="V24" s="130"/>
      <c r="X24" s="130"/>
      <c r="Z24" s="130"/>
      <c r="AB24" s="130"/>
      <c r="AD24" s="130"/>
      <c r="AF24" s="130"/>
      <c r="AH24" s="130"/>
      <c r="AJ24" s="130"/>
      <c r="AK24" s="130"/>
      <c r="AL24" s="128"/>
    </row>
    <row r="25" spans="1:38" s="107" customFormat="1">
      <c r="B25" s="128"/>
      <c r="C25" s="136"/>
      <c r="D25" s="130"/>
      <c r="E25" s="127"/>
      <c r="F25" s="127"/>
      <c r="G25" s="128"/>
      <c r="H25" s="130"/>
      <c r="J25" s="130"/>
      <c r="L25" s="130"/>
      <c r="N25" s="130"/>
      <c r="P25" s="130"/>
      <c r="R25" s="130"/>
      <c r="T25" s="130"/>
      <c r="V25" s="130"/>
      <c r="X25" s="130"/>
      <c r="Z25" s="130"/>
      <c r="AB25" s="130"/>
      <c r="AD25" s="130"/>
      <c r="AF25" s="130"/>
      <c r="AH25" s="130"/>
      <c r="AJ25" s="130"/>
      <c r="AK25" s="130"/>
      <c r="AL25" s="128"/>
    </row>
    <row r="26" spans="1:38" s="107" customFormat="1">
      <c r="B26" s="128"/>
      <c r="C26" s="136"/>
      <c r="D26" s="130"/>
      <c r="E26" s="127"/>
      <c r="F26" s="127"/>
      <c r="G26" s="128"/>
      <c r="H26" s="130"/>
      <c r="J26" s="130"/>
      <c r="L26" s="130"/>
      <c r="N26" s="130"/>
      <c r="P26" s="130"/>
      <c r="R26" s="130"/>
      <c r="T26" s="130"/>
      <c r="V26" s="130"/>
      <c r="X26" s="130"/>
      <c r="Z26" s="130"/>
      <c r="AB26" s="130"/>
      <c r="AD26" s="130"/>
      <c r="AF26" s="130"/>
      <c r="AH26" s="130"/>
      <c r="AJ26" s="130"/>
      <c r="AK26" s="130"/>
      <c r="AL26" s="128"/>
    </row>
    <row r="27" spans="1:38">
      <c r="A27" s="107"/>
      <c r="B27" s="128"/>
      <c r="C27" s="136"/>
      <c r="D27" s="130"/>
      <c r="E27" s="127"/>
      <c r="F27" s="127"/>
      <c r="G27" s="128"/>
      <c r="H27" s="130"/>
      <c r="I27" s="107"/>
      <c r="J27" s="130"/>
      <c r="K27" s="107"/>
      <c r="L27" s="130"/>
      <c r="M27" s="107"/>
      <c r="N27" s="130"/>
      <c r="O27" s="107"/>
      <c r="P27" s="130"/>
      <c r="Q27" s="107"/>
      <c r="R27" s="130"/>
      <c r="S27" s="107"/>
      <c r="T27" s="130"/>
      <c r="U27" s="107"/>
      <c r="V27" s="130"/>
      <c r="W27" s="107"/>
      <c r="X27" s="130"/>
      <c r="Y27" s="107"/>
      <c r="Z27" s="130"/>
      <c r="AA27" s="107"/>
      <c r="AB27" s="130"/>
      <c r="AC27" s="107"/>
      <c r="AD27" s="130"/>
      <c r="AE27" s="107"/>
      <c r="AF27" s="130"/>
      <c r="AG27" s="107"/>
      <c r="AH27" s="130"/>
      <c r="AI27" s="107"/>
      <c r="AJ27" s="130"/>
      <c r="AK27" s="130"/>
      <c r="AL27" s="128"/>
    </row>
    <row r="28" spans="1:38">
      <c r="A28" s="107"/>
      <c r="B28" s="128"/>
      <c r="C28" s="136"/>
      <c r="D28" s="130"/>
      <c r="E28" s="127"/>
      <c r="F28" s="127"/>
      <c r="G28" s="128"/>
      <c r="H28" s="130"/>
      <c r="I28" s="107"/>
      <c r="J28" s="130"/>
      <c r="K28" s="107"/>
      <c r="L28" s="130"/>
      <c r="M28" s="107"/>
      <c r="N28" s="130"/>
      <c r="O28" s="107"/>
      <c r="P28" s="130"/>
      <c r="Q28" s="107"/>
      <c r="R28" s="130"/>
      <c r="S28" s="107"/>
      <c r="T28" s="130"/>
      <c r="U28" s="107"/>
      <c r="V28" s="130"/>
      <c r="W28" s="107"/>
      <c r="X28" s="130"/>
      <c r="Y28" s="107"/>
      <c r="Z28" s="130"/>
      <c r="AA28" s="107"/>
      <c r="AB28" s="130"/>
      <c r="AC28" s="107"/>
      <c r="AD28" s="130"/>
      <c r="AE28" s="107"/>
      <c r="AF28" s="130"/>
      <c r="AG28" s="107"/>
      <c r="AH28" s="130"/>
      <c r="AI28" s="107"/>
      <c r="AJ28" s="130"/>
      <c r="AK28" s="130"/>
      <c r="AL28" s="128"/>
    </row>
    <row r="29" spans="1:38">
      <c r="A29" s="107"/>
      <c r="B29" s="128"/>
      <c r="C29" s="136"/>
      <c r="D29" s="130"/>
      <c r="E29" s="127"/>
      <c r="F29" s="127"/>
      <c r="G29" s="128"/>
      <c r="H29" s="130"/>
      <c r="I29" s="107"/>
      <c r="J29" s="130"/>
      <c r="K29" s="107"/>
      <c r="L29" s="130"/>
      <c r="M29" s="107"/>
      <c r="N29" s="130"/>
      <c r="O29" s="107"/>
      <c r="P29" s="130"/>
      <c r="Q29" s="107"/>
      <c r="R29" s="130"/>
      <c r="S29" s="107"/>
      <c r="T29" s="130"/>
      <c r="U29" s="107"/>
      <c r="V29" s="130"/>
      <c r="W29" s="107"/>
      <c r="X29" s="130"/>
      <c r="Y29" s="107"/>
      <c r="Z29" s="130"/>
      <c r="AA29" s="107"/>
      <c r="AB29" s="130"/>
      <c r="AC29" s="107"/>
      <c r="AD29" s="130"/>
      <c r="AE29" s="107"/>
      <c r="AF29" s="130"/>
      <c r="AG29" s="107"/>
      <c r="AH29" s="130"/>
      <c r="AI29" s="107"/>
      <c r="AJ29" s="130"/>
      <c r="AK29" s="130"/>
      <c r="AL29" s="128"/>
    </row>
    <row r="30" spans="1:38">
      <c r="A30" s="107"/>
      <c r="B30" s="128"/>
      <c r="C30" s="136"/>
      <c r="D30" s="130"/>
      <c r="E30" s="127"/>
      <c r="F30" s="127"/>
      <c r="G30" s="128"/>
      <c r="H30" s="130"/>
      <c r="I30" s="107"/>
      <c r="J30" s="130"/>
      <c r="K30" s="107"/>
      <c r="L30" s="130"/>
      <c r="M30" s="107"/>
      <c r="N30" s="130"/>
      <c r="O30" s="107"/>
      <c r="P30" s="130"/>
      <c r="Q30" s="107"/>
      <c r="R30" s="130"/>
      <c r="S30" s="107"/>
      <c r="T30" s="130"/>
      <c r="U30" s="107"/>
      <c r="V30" s="130"/>
      <c r="W30" s="107"/>
      <c r="X30" s="130"/>
      <c r="Y30" s="107"/>
      <c r="Z30" s="130"/>
      <c r="AA30" s="107"/>
      <c r="AB30" s="130"/>
      <c r="AC30" s="107"/>
      <c r="AD30" s="130"/>
      <c r="AE30" s="107"/>
      <c r="AF30" s="130"/>
      <c r="AG30" s="107"/>
      <c r="AH30" s="130"/>
      <c r="AI30" s="107"/>
      <c r="AJ30" s="130"/>
      <c r="AK30" s="130"/>
      <c r="AL30" s="128"/>
    </row>
    <row r="31" spans="1:38">
      <c r="A31" s="107"/>
      <c r="B31" s="128"/>
      <c r="C31" s="136"/>
      <c r="D31" s="130"/>
      <c r="E31" s="127"/>
      <c r="F31" s="127"/>
      <c r="G31" s="128"/>
      <c r="H31" s="130"/>
      <c r="I31" s="107"/>
      <c r="J31" s="130"/>
      <c r="K31" s="107"/>
      <c r="L31" s="130"/>
      <c r="M31" s="107"/>
      <c r="N31" s="130"/>
      <c r="O31" s="107"/>
      <c r="P31" s="130"/>
      <c r="Q31" s="107"/>
      <c r="R31" s="130"/>
      <c r="S31" s="107"/>
      <c r="T31" s="130"/>
      <c r="U31" s="107"/>
      <c r="V31" s="130"/>
      <c r="W31" s="107"/>
      <c r="X31" s="130"/>
      <c r="Y31" s="107"/>
      <c r="Z31" s="130"/>
      <c r="AA31" s="107"/>
      <c r="AB31" s="130"/>
      <c r="AC31" s="107"/>
      <c r="AD31" s="130"/>
      <c r="AE31" s="107"/>
      <c r="AF31" s="130"/>
      <c r="AG31" s="107"/>
      <c r="AH31" s="130"/>
      <c r="AI31" s="107"/>
      <c r="AJ31" s="130"/>
      <c r="AK31" s="130"/>
      <c r="AL31" s="128"/>
    </row>
    <row r="32" spans="1:38">
      <c r="A32" s="107"/>
      <c r="B32" s="128"/>
      <c r="C32" s="136"/>
      <c r="D32" s="130"/>
      <c r="E32" s="127"/>
      <c r="F32" s="127"/>
      <c r="G32" s="128"/>
      <c r="H32" s="130"/>
      <c r="I32" s="107"/>
      <c r="J32" s="130"/>
      <c r="K32" s="107"/>
      <c r="L32" s="130"/>
      <c r="M32" s="107"/>
      <c r="N32" s="130"/>
      <c r="O32" s="107"/>
      <c r="P32" s="130"/>
      <c r="Q32" s="107"/>
      <c r="R32" s="130"/>
      <c r="S32" s="107"/>
      <c r="T32" s="130"/>
      <c r="U32" s="107"/>
      <c r="V32" s="130"/>
      <c r="W32" s="107"/>
      <c r="X32" s="130"/>
      <c r="Y32" s="107"/>
      <c r="Z32" s="130"/>
      <c r="AA32" s="107"/>
      <c r="AB32" s="130"/>
      <c r="AC32" s="107"/>
      <c r="AD32" s="130"/>
      <c r="AE32" s="107"/>
      <c r="AF32" s="130"/>
      <c r="AG32" s="107"/>
      <c r="AH32" s="130"/>
      <c r="AI32" s="107"/>
      <c r="AJ32" s="130"/>
      <c r="AK32" s="130"/>
      <c r="AL32" s="128"/>
    </row>
    <row r="33" spans="1:38">
      <c r="A33" s="107"/>
      <c r="B33" s="128"/>
      <c r="C33" s="136"/>
      <c r="D33" s="130"/>
      <c r="E33" s="127"/>
      <c r="F33" s="127"/>
      <c r="G33" s="128"/>
      <c r="H33" s="130"/>
      <c r="I33" s="107"/>
      <c r="J33" s="130"/>
      <c r="K33" s="107"/>
      <c r="L33" s="130"/>
      <c r="M33" s="107"/>
      <c r="N33" s="130"/>
      <c r="O33" s="107"/>
      <c r="P33" s="130"/>
      <c r="Q33" s="107"/>
      <c r="R33" s="130"/>
      <c r="S33" s="107"/>
      <c r="T33" s="130"/>
      <c r="U33" s="107"/>
      <c r="V33" s="130"/>
      <c r="W33" s="107"/>
      <c r="X33" s="130"/>
      <c r="Y33" s="107"/>
      <c r="Z33" s="130"/>
      <c r="AA33" s="107"/>
      <c r="AB33" s="130"/>
      <c r="AC33" s="107"/>
      <c r="AD33" s="130"/>
      <c r="AE33" s="107"/>
      <c r="AF33" s="130"/>
      <c r="AG33" s="107"/>
      <c r="AH33" s="130"/>
      <c r="AI33" s="107"/>
      <c r="AJ33" s="130"/>
      <c r="AK33" s="130"/>
      <c r="AL33" s="128"/>
    </row>
    <row r="34" spans="1:38">
      <c r="A34" s="107"/>
      <c r="B34" s="128"/>
      <c r="C34" s="136"/>
      <c r="D34" s="130"/>
      <c r="E34" s="127"/>
      <c r="F34" s="127"/>
      <c r="G34" s="128"/>
      <c r="H34" s="130"/>
      <c r="I34" s="107"/>
      <c r="J34" s="130"/>
      <c r="K34" s="107"/>
      <c r="L34" s="130"/>
      <c r="M34" s="107"/>
      <c r="N34" s="130"/>
      <c r="O34" s="107"/>
      <c r="P34" s="130"/>
      <c r="Q34" s="107"/>
      <c r="R34" s="130"/>
      <c r="S34" s="107"/>
      <c r="T34" s="130"/>
      <c r="U34" s="107"/>
      <c r="V34" s="130"/>
      <c r="W34" s="107"/>
      <c r="X34" s="130"/>
      <c r="Y34" s="107"/>
      <c r="Z34" s="130"/>
      <c r="AA34" s="107"/>
      <c r="AB34" s="130"/>
      <c r="AC34" s="107"/>
      <c r="AD34" s="130"/>
      <c r="AE34" s="107"/>
      <c r="AF34" s="130"/>
      <c r="AG34" s="107"/>
      <c r="AH34" s="130"/>
      <c r="AI34" s="107"/>
      <c r="AJ34" s="130"/>
      <c r="AK34" s="130"/>
      <c r="AL34" s="128"/>
    </row>
    <row r="35" spans="1:38">
      <c r="A35" s="107"/>
      <c r="B35" s="128"/>
      <c r="C35" s="136"/>
      <c r="D35" s="130"/>
      <c r="E35" s="127"/>
      <c r="F35" s="127"/>
      <c r="G35" s="128"/>
      <c r="H35" s="130"/>
      <c r="I35" s="107"/>
      <c r="J35" s="130"/>
      <c r="K35" s="107"/>
      <c r="L35" s="130"/>
      <c r="M35" s="107"/>
      <c r="N35" s="130"/>
      <c r="O35" s="107"/>
      <c r="P35" s="130"/>
      <c r="Q35" s="107"/>
      <c r="R35" s="130"/>
      <c r="S35" s="107"/>
      <c r="T35" s="130"/>
      <c r="U35" s="107"/>
      <c r="V35" s="130"/>
      <c r="W35" s="107"/>
      <c r="X35" s="130"/>
      <c r="Y35" s="107"/>
      <c r="Z35" s="130"/>
      <c r="AA35" s="107"/>
      <c r="AB35" s="130"/>
      <c r="AC35" s="107"/>
      <c r="AD35" s="130"/>
      <c r="AE35" s="107"/>
      <c r="AF35" s="130"/>
      <c r="AG35" s="107"/>
      <c r="AH35" s="130"/>
      <c r="AI35" s="107"/>
      <c r="AJ35" s="130"/>
      <c r="AK35" s="130"/>
      <c r="AL35" s="128"/>
    </row>
    <row r="36" spans="1:38">
      <c r="A36" s="107"/>
      <c r="B36" s="128"/>
      <c r="C36" s="136"/>
      <c r="D36" s="130"/>
      <c r="E36" s="127"/>
      <c r="F36" s="127"/>
      <c r="G36" s="128"/>
      <c r="H36" s="130"/>
      <c r="I36" s="107"/>
      <c r="J36" s="130"/>
      <c r="K36" s="107"/>
      <c r="L36" s="130"/>
      <c r="M36" s="107"/>
      <c r="N36" s="130"/>
      <c r="O36" s="107"/>
      <c r="P36" s="130"/>
      <c r="Q36" s="107"/>
      <c r="R36" s="130"/>
      <c r="S36" s="107"/>
      <c r="T36" s="130"/>
      <c r="U36" s="107"/>
      <c r="V36" s="130"/>
      <c r="W36" s="107"/>
      <c r="X36" s="130"/>
      <c r="Y36" s="107"/>
      <c r="Z36" s="130"/>
      <c r="AA36" s="107"/>
      <c r="AB36" s="130"/>
      <c r="AC36" s="107"/>
      <c r="AD36" s="130"/>
      <c r="AE36" s="107"/>
      <c r="AF36" s="130"/>
      <c r="AG36" s="107"/>
      <c r="AH36" s="130"/>
      <c r="AI36" s="107"/>
      <c r="AJ36" s="130"/>
      <c r="AK36" s="130"/>
      <c r="AL36" s="128"/>
    </row>
    <row r="37" spans="1:38">
      <c r="A37" s="107"/>
      <c r="B37" s="128"/>
      <c r="C37" s="136"/>
      <c r="D37" s="130"/>
      <c r="E37" s="127"/>
      <c r="F37" s="127"/>
      <c r="G37" s="128"/>
      <c r="H37" s="130"/>
      <c r="I37" s="107"/>
      <c r="J37" s="130"/>
      <c r="K37" s="107"/>
      <c r="L37" s="130"/>
      <c r="M37" s="107"/>
      <c r="N37" s="130"/>
      <c r="O37" s="107"/>
      <c r="P37" s="130"/>
      <c r="Q37" s="107"/>
      <c r="R37" s="130"/>
      <c r="S37" s="107"/>
      <c r="T37" s="130"/>
      <c r="U37" s="107"/>
      <c r="V37" s="130"/>
      <c r="W37" s="107"/>
      <c r="X37" s="130"/>
      <c r="Y37" s="107"/>
      <c r="Z37" s="130"/>
      <c r="AA37" s="107"/>
      <c r="AB37" s="130"/>
      <c r="AC37" s="107"/>
      <c r="AD37" s="130"/>
      <c r="AE37" s="107"/>
      <c r="AF37" s="130"/>
      <c r="AG37" s="107"/>
      <c r="AH37" s="130"/>
      <c r="AI37" s="107"/>
      <c r="AJ37" s="130"/>
      <c r="AK37" s="130"/>
      <c r="AL37" s="128"/>
    </row>
    <row r="38" spans="1:38">
      <c r="A38" s="107"/>
      <c r="B38" s="128"/>
      <c r="C38" s="136"/>
      <c r="D38" s="130"/>
      <c r="E38" s="127"/>
      <c r="F38" s="127"/>
      <c r="G38" s="128"/>
      <c r="H38" s="130"/>
      <c r="I38" s="107"/>
      <c r="J38" s="130"/>
      <c r="K38" s="107"/>
      <c r="L38" s="130"/>
      <c r="M38" s="107"/>
      <c r="N38" s="130"/>
      <c r="O38" s="107"/>
      <c r="P38" s="130"/>
      <c r="Q38" s="107"/>
      <c r="R38" s="130"/>
      <c r="S38" s="107"/>
      <c r="T38" s="130"/>
      <c r="U38" s="107"/>
      <c r="V38" s="130"/>
      <c r="W38" s="107"/>
      <c r="X38" s="130"/>
      <c r="Y38" s="107"/>
      <c r="Z38" s="130"/>
      <c r="AA38" s="107"/>
      <c r="AB38" s="130"/>
      <c r="AC38" s="107"/>
      <c r="AD38" s="130"/>
      <c r="AE38" s="107"/>
      <c r="AF38" s="130"/>
      <c r="AG38" s="107"/>
      <c r="AH38" s="130"/>
      <c r="AI38" s="107"/>
      <c r="AJ38" s="130"/>
      <c r="AK38" s="130"/>
      <c r="AL38" s="128"/>
    </row>
    <row r="39" spans="1:38">
      <c r="A39" s="107"/>
      <c r="B39" s="128"/>
      <c r="C39" s="136"/>
      <c r="D39" s="130"/>
      <c r="E39" s="127"/>
      <c r="F39" s="127"/>
      <c r="G39" s="128"/>
      <c r="H39" s="130"/>
      <c r="I39" s="107"/>
      <c r="J39" s="130"/>
      <c r="K39" s="107"/>
      <c r="L39" s="130"/>
      <c r="M39" s="107"/>
      <c r="N39" s="130"/>
      <c r="O39" s="107"/>
      <c r="P39" s="130"/>
      <c r="Q39" s="107"/>
      <c r="R39" s="130"/>
      <c r="S39" s="107"/>
      <c r="T39" s="130"/>
      <c r="U39" s="107"/>
      <c r="V39" s="130"/>
      <c r="W39" s="107"/>
      <c r="X39" s="130"/>
      <c r="Y39" s="107"/>
      <c r="Z39" s="130"/>
      <c r="AA39" s="107"/>
      <c r="AB39" s="130"/>
      <c r="AC39" s="107"/>
      <c r="AD39" s="130"/>
      <c r="AE39" s="107"/>
      <c r="AF39" s="130"/>
      <c r="AG39" s="107"/>
      <c r="AH39" s="130"/>
      <c r="AI39" s="107"/>
      <c r="AJ39" s="130"/>
      <c r="AK39" s="130"/>
      <c r="AL39" s="128"/>
    </row>
    <row r="40" spans="1:38">
      <c r="A40" s="107"/>
      <c r="B40" s="128"/>
      <c r="C40" s="136"/>
      <c r="D40" s="130"/>
      <c r="E40" s="127"/>
      <c r="F40" s="127"/>
      <c r="G40" s="128"/>
      <c r="H40" s="130"/>
      <c r="I40" s="107"/>
      <c r="J40" s="130"/>
      <c r="K40" s="107"/>
      <c r="L40" s="130"/>
      <c r="M40" s="107"/>
      <c r="N40" s="130"/>
      <c r="O40" s="107"/>
      <c r="P40" s="130"/>
      <c r="Q40" s="107"/>
      <c r="R40" s="130"/>
      <c r="S40" s="107"/>
      <c r="T40" s="130"/>
      <c r="U40" s="107"/>
      <c r="V40" s="130"/>
      <c r="W40" s="107"/>
      <c r="X40" s="130"/>
      <c r="Y40" s="107"/>
      <c r="Z40" s="130"/>
      <c r="AA40" s="107"/>
      <c r="AB40" s="130"/>
      <c r="AC40" s="107"/>
      <c r="AD40" s="130"/>
      <c r="AE40" s="107"/>
      <c r="AF40" s="130"/>
      <c r="AG40" s="107"/>
      <c r="AH40" s="130"/>
      <c r="AI40" s="107"/>
      <c r="AJ40" s="130"/>
      <c r="AK40" s="130"/>
      <c r="AL40" s="128"/>
    </row>
    <row r="41" spans="1:38">
      <c r="A41" s="107"/>
      <c r="B41" s="128"/>
      <c r="C41" s="136"/>
      <c r="D41" s="130"/>
      <c r="E41" s="127"/>
      <c r="F41" s="127"/>
      <c r="G41" s="128"/>
      <c r="H41" s="130"/>
      <c r="I41" s="107"/>
      <c r="J41" s="130"/>
      <c r="K41" s="107"/>
      <c r="L41" s="130"/>
      <c r="M41" s="107"/>
      <c r="N41" s="130"/>
      <c r="O41" s="107"/>
      <c r="P41" s="130"/>
      <c r="Q41" s="107"/>
      <c r="R41" s="130"/>
      <c r="S41" s="107"/>
      <c r="T41" s="130"/>
      <c r="U41" s="107"/>
      <c r="V41" s="130"/>
      <c r="W41" s="107"/>
      <c r="X41" s="130"/>
      <c r="Y41" s="107"/>
      <c r="Z41" s="130"/>
      <c r="AA41" s="107"/>
      <c r="AB41" s="130"/>
      <c r="AC41" s="107"/>
      <c r="AD41" s="130"/>
      <c r="AE41" s="107"/>
      <c r="AF41" s="130"/>
      <c r="AG41" s="107"/>
      <c r="AH41" s="130"/>
      <c r="AI41" s="107"/>
      <c r="AJ41" s="130"/>
      <c r="AK41" s="130"/>
      <c r="AL41" s="128"/>
    </row>
    <row r="42" spans="1:38">
      <c r="A42" s="107"/>
      <c r="B42" s="128"/>
      <c r="C42" s="136"/>
      <c r="D42" s="130"/>
      <c r="E42" s="127"/>
      <c r="F42" s="127"/>
      <c r="G42" s="128"/>
      <c r="H42" s="130"/>
      <c r="I42" s="107"/>
      <c r="J42" s="130"/>
      <c r="K42" s="107"/>
      <c r="L42" s="130"/>
      <c r="M42" s="107"/>
      <c r="N42" s="130"/>
      <c r="O42" s="107"/>
      <c r="P42" s="130"/>
      <c r="Q42" s="107"/>
      <c r="R42" s="130"/>
      <c r="S42" s="107"/>
      <c r="T42" s="130"/>
      <c r="U42" s="107"/>
      <c r="V42" s="130"/>
      <c r="W42" s="107"/>
      <c r="X42" s="130"/>
      <c r="Y42" s="107"/>
      <c r="Z42" s="130"/>
      <c r="AA42" s="107"/>
      <c r="AB42" s="130"/>
      <c r="AC42" s="107"/>
      <c r="AD42" s="130"/>
      <c r="AE42" s="107"/>
      <c r="AF42" s="130"/>
      <c r="AG42" s="107"/>
      <c r="AH42" s="130"/>
      <c r="AI42" s="107"/>
      <c r="AJ42" s="130"/>
      <c r="AK42" s="130"/>
      <c r="AL42" s="128"/>
    </row>
    <row r="43" spans="1:38">
      <c r="A43" s="107"/>
      <c r="B43" s="128"/>
      <c r="C43" s="136"/>
      <c r="D43" s="130"/>
      <c r="E43" s="127"/>
      <c r="F43" s="127"/>
      <c r="G43" s="128"/>
      <c r="H43" s="130"/>
      <c r="I43" s="107"/>
      <c r="J43" s="130"/>
      <c r="K43" s="107"/>
      <c r="L43" s="130"/>
      <c r="M43" s="107"/>
      <c r="N43" s="130"/>
      <c r="O43" s="107"/>
      <c r="P43" s="130"/>
      <c r="Q43" s="107"/>
      <c r="R43" s="130"/>
      <c r="S43" s="107"/>
      <c r="T43" s="130"/>
      <c r="U43" s="107"/>
      <c r="V43" s="130"/>
      <c r="W43" s="107"/>
      <c r="X43" s="130"/>
      <c r="Y43" s="107"/>
      <c r="Z43" s="130"/>
      <c r="AA43" s="107"/>
      <c r="AB43" s="130"/>
      <c r="AC43" s="107"/>
      <c r="AD43" s="130"/>
      <c r="AE43" s="107"/>
      <c r="AF43" s="130"/>
      <c r="AG43" s="107"/>
      <c r="AH43" s="130"/>
      <c r="AI43" s="107"/>
      <c r="AJ43" s="130"/>
      <c r="AK43" s="130"/>
      <c r="AL43" s="128"/>
    </row>
    <row r="44" spans="1:38">
      <c r="A44" s="107"/>
      <c r="B44" s="128"/>
      <c r="C44" s="136"/>
      <c r="D44" s="130"/>
      <c r="E44" s="127"/>
      <c r="F44" s="127"/>
      <c r="G44" s="128"/>
      <c r="H44" s="130"/>
      <c r="I44" s="107"/>
      <c r="J44" s="130"/>
      <c r="K44" s="107"/>
      <c r="L44" s="130"/>
      <c r="M44" s="107"/>
      <c r="N44" s="130"/>
      <c r="O44" s="107"/>
      <c r="P44" s="130"/>
      <c r="Q44" s="107"/>
      <c r="R44" s="130"/>
      <c r="S44" s="107"/>
      <c r="T44" s="130"/>
      <c r="U44" s="107"/>
      <c r="V44" s="130"/>
      <c r="W44" s="107"/>
      <c r="X44" s="130"/>
      <c r="Y44" s="107"/>
      <c r="Z44" s="130"/>
      <c r="AA44" s="107"/>
      <c r="AB44" s="130"/>
      <c r="AC44" s="107"/>
      <c r="AD44" s="130"/>
      <c r="AE44" s="107"/>
      <c r="AF44" s="130"/>
      <c r="AG44" s="107"/>
      <c r="AH44" s="130"/>
      <c r="AI44" s="107"/>
      <c r="AJ44" s="130"/>
      <c r="AK44" s="130"/>
      <c r="AL44" s="128"/>
    </row>
    <row r="45" spans="1:38">
      <c r="A45" s="107"/>
      <c r="B45" s="128"/>
      <c r="C45" s="136"/>
      <c r="D45" s="130"/>
      <c r="E45" s="127"/>
      <c r="F45" s="127"/>
      <c r="G45" s="128"/>
      <c r="H45" s="130"/>
      <c r="I45" s="107"/>
      <c r="J45" s="130"/>
      <c r="K45" s="107"/>
      <c r="L45" s="130"/>
      <c r="M45" s="107"/>
      <c r="N45" s="130"/>
      <c r="O45" s="107"/>
      <c r="P45" s="130"/>
      <c r="Q45" s="107"/>
      <c r="R45" s="130"/>
      <c r="S45" s="107"/>
      <c r="T45" s="130"/>
      <c r="U45" s="107"/>
      <c r="V45" s="130"/>
      <c r="W45" s="107"/>
      <c r="X45" s="130"/>
      <c r="Y45" s="107"/>
      <c r="Z45" s="130"/>
      <c r="AA45" s="107"/>
      <c r="AB45" s="130"/>
      <c r="AC45" s="107"/>
      <c r="AD45" s="130"/>
      <c r="AE45" s="107"/>
      <c r="AF45" s="130"/>
      <c r="AG45" s="107"/>
      <c r="AH45" s="130"/>
      <c r="AI45" s="107"/>
      <c r="AJ45" s="130"/>
      <c r="AK45" s="130"/>
      <c r="AL45" s="128"/>
    </row>
    <row r="46" spans="1:38">
      <c r="A46" s="107"/>
      <c r="B46" s="128"/>
      <c r="C46" s="136"/>
      <c r="D46" s="130"/>
      <c r="E46" s="127"/>
      <c r="F46" s="127"/>
      <c r="G46" s="128"/>
      <c r="H46" s="130"/>
      <c r="I46" s="107"/>
      <c r="J46" s="130"/>
      <c r="K46" s="107"/>
      <c r="L46" s="130"/>
      <c r="M46" s="107"/>
      <c r="N46" s="130"/>
      <c r="O46" s="107"/>
      <c r="P46" s="130"/>
      <c r="Q46" s="107"/>
      <c r="R46" s="130"/>
      <c r="S46" s="107"/>
      <c r="T46" s="130"/>
      <c r="U46" s="107"/>
      <c r="V46" s="130"/>
      <c r="W46" s="107"/>
      <c r="X46" s="130"/>
      <c r="Y46" s="107"/>
      <c r="Z46" s="130"/>
      <c r="AA46" s="107"/>
      <c r="AB46" s="130"/>
      <c r="AC46" s="107"/>
      <c r="AD46" s="130"/>
      <c r="AE46" s="107"/>
      <c r="AF46" s="130"/>
      <c r="AG46" s="107"/>
      <c r="AH46" s="130"/>
      <c r="AI46" s="107"/>
      <c r="AJ46" s="130"/>
      <c r="AK46" s="130"/>
      <c r="AL46" s="128"/>
    </row>
    <row r="47" spans="1:38">
      <c r="A47" s="107"/>
      <c r="B47" s="128"/>
      <c r="C47" s="136"/>
      <c r="D47" s="130"/>
      <c r="E47" s="127"/>
      <c r="F47" s="127"/>
      <c r="G47" s="128"/>
      <c r="H47" s="130"/>
      <c r="I47" s="107"/>
      <c r="J47" s="130"/>
      <c r="K47" s="107"/>
      <c r="L47" s="130"/>
      <c r="M47" s="107"/>
      <c r="N47" s="130"/>
      <c r="O47" s="107"/>
      <c r="P47" s="130"/>
      <c r="Q47" s="107"/>
      <c r="R47" s="130"/>
      <c r="S47" s="107"/>
      <c r="T47" s="130"/>
      <c r="U47" s="107"/>
      <c r="V47" s="130"/>
      <c r="W47" s="107"/>
      <c r="X47" s="130"/>
      <c r="Y47" s="107"/>
      <c r="Z47" s="130"/>
      <c r="AA47" s="107"/>
      <c r="AB47" s="130"/>
      <c r="AC47" s="107"/>
      <c r="AD47" s="130"/>
      <c r="AE47" s="107"/>
      <c r="AF47" s="130"/>
      <c r="AG47" s="107"/>
      <c r="AH47" s="130"/>
      <c r="AI47" s="107"/>
      <c r="AJ47" s="130"/>
      <c r="AK47" s="130"/>
      <c r="AL47" s="128"/>
    </row>
    <row r="48" spans="1:38">
      <c r="A48" s="107"/>
      <c r="B48" s="128"/>
      <c r="C48" s="136"/>
      <c r="D48" s="130"/>
      <c r="E48" s="127"/>
      <c r="F48" s="127"/>
      <c r="G48" s="128"/>
      <c r="H48" s="130"/>
      <c r="I48" s="107"/>
      <c r="J48" s="130"/>
      <c r="K48" s="107"/>
      <c r="L48" s="130"/>
      <c r="M48" s="107"/>
      <c r="N48" s="130"/>
      <c r="O48" s="107"/>
      <c r="P48" s="130"/>
      <c r="Q48" s="107"/>
      <c r="R48" s="130"/>
      <c r="S48" s="107"/>
      <c r="T48" s="130"/>
      <c r="U48" s="107"/>
      <c r="V48" s="130"/>
      <c r="W48" s="107"/>
      <c r="X48" s="130"/>
      <c r="Y48" s="107"/>
      <c r="Z48" s="130"/>
      <c r="AA48" s="107"/>
      <c r="AB48" s="130"/>
      <c r="AC48" s="107"/>
      <c r="AD48" s="130"/>
      <c r="AE48" s="107"/>
      <c r="AF48" s="130"/>
      <c r="AG48" s="107"/>
      <c r="AH48" s="130"/>
      <c r="AI48" s="107"/>
      <c r="AJ48" s="130"/>
      <c r="AK48" s="130"/>
      <c r="AL48" s="128"/>
    </row>
    <row r="49" spans="1:38">
      <c r="A49" s="107"/>
      <c r="B49" s="128"/>
      <c r="C49" s="136"/>
      <c r="D49" s="130"/>
      <c r="E49" s="127"/>
      <c r="F49" s="127"/>
      <c r="G49" s="128"/>
      <c r="H49" s="130"/>
      <c r="I49" s="107"/>
      <c r="J49" s="130"/>
      <c r="K49" s="107"/>
      <c r="L49" s="130"/>
      <c r="M49" s="107"/>
      <c r="N49" s="130"/>
      <c r="O49" s="107"/>
      <c r="P49" s="130"/>
      <c r="Q49" s="107"/>
      <c r="R49" s="130"/>
      <c r="S49" s="107"/>
      <c r="T49" s="130"/>
      <c r="U49" s="107"/>
      <c r="V49" s="130"/>
      <c r="W49" s="107"/>
      <c r="X49" s="130"/>
      <c r="Y49" s="107"/>
      <c r="Z49" s="130"/>
      <c r="AA49" s="107"/>
      <c r="AB49" s="130"/>
      <c r="AC49" s="107"/>
      <c r="AD49" s="130"/>
      <c r="AE49" s="107"/>
      <c r="AF49" s="130"/>
      <c r="AG49" s="107"/>
      <c r="AH49" s="130"/>
      <c r="AI49" s="107"/>
      <c r="AJ49" s="130"/>
      <c r="AK49" s="130"/>
      <c r="AL49" s="128"/>
    </row>
    <row r="50" spans="1:38">
      <c r="A50" s="107"/>
      <c r="B50" s="128"/>
      <c r="C50" s="136"/>
      <c r="D50" s="130"/>
      <c r="E50" s="127"/>
      <c r="F50" s="127"/>
      <c r="G50" s="128"/>
      <c r="H50" s="130"/>
      <c r="I50" s="107"/>
      <c r="J50" s="130"/>
      <c r="K50" s="107"/>
      <c r="L50" s="130"/>
      <c r="M50" s="107"/>
      <c r="N50" s="130"/>
      <c r="O50" s="107"/>
      <c r="P50" s="130"/>
      <c r="Q50" s="107"/>
      <c r="R50" s="130"/>
      <c r="S50" s="107"/>
      <c r="T50" s="130"/>
      <c r="U50" s="107"/>
      <c r="V50" s="130"/>
      <c r="W50" s="107"/>
      <c r="X50" s="130"/>
      <c r="Y50" s="107"/>
      <c r="Z50" s="130"/>
      <c r="AA50" s="107"/>
      <c r="AB50" s="130"/>
      <c r="AC50" s="107"/>
      <c r="AD50" s="130"/>
      <c r="AE50" s="107"/>
      <c r="AF50" s="130"/>
      <c r="AG50" s="107"/>
      <c r="AH50" s="130"/>
      <c r="AI50" s="107"/>
      <c r="AJ50" s="130"/>
      <c r="AK50" s="130"/>
      <c r="AL50" s="128"/>
    </row>
    <row r="51" spans="1:38">
      <c r="A51" s="107"/>
      <c r="B51" s="128"/>
      <c r="C51" s="136"/>
      <c r="D51" s="130"/>
      <c r="E51" s="127"/>
      <c r="F51" s="127"/>
      <c r="G51" s="128"/>
      <c r="H51" s="130"/>
      <c r="I51" s="107"/>
      <c r="J51" s="130"/>
      <c r="K51" s="107"/>
      <c r="L51" s="130"/>
      <c r="M51" s="107"/>
      <c r="N51" s="130"/>
      <c r="O51" s="107"/>
      <c r="P51" s="130"/>
      <c r="Q51" s="107"/>
      <c r="R51" s="130"/>
      <c r="S51" s="107"/>
      <c r="T51" s="130"/>
      <c r="U51" s="107"/>
      <c r="V51" s="130"/>
      <c r="W51" s="107"/>
      <c r="X51" s="130"/>
      <c r="Y51" s="107"/>
      <c r="Z51" s="130"/>
      <c r="AA51" s="107"/>
      <c r="AB51" s="130"/>
      <c r="AC51" s="107"/>
      <c r="AD51" s="130"/>
      <c r="AE51" s="107"/>
      <c r="AF51" s="130"/>
      <c r="AG51" s="107"/>
      <c r="AH51" s="130"/>
      <c r="AI51" s="107"/>
      <c r="AJ51" s="130"/>
      <c r="AK51" s="130"/>
      <c r="AL51" s="128"/>
    </row>
    <row r="52" spans="1:38">
      <c r="A52" s="107"/>
      <c r="B52" s="128"/>
      <c r="C52" s="136"/>
      <c r="D52" s="130"/>
      <c r="E52" s="127"/>
      <c r="F52" s="127"/>
      <c r="G52" s="128"/>
      <c r="H52" s="130"/>
      <c r="I52" s="107"/>
      <c r="J52" s="130"/>
      <c r="K52" s="107"/>
      <c r="L52" s="130"/>
      <c r="M52" s="107"/>
      <c r="N52" s="130"/>
      <c r="O52" s="107"/>
      <c r="P52" s="130"/>
      <c r="Q52" s="107"/>
      <c r="R52" s="130"/>
      <c r="S52" s="107"/>
      <c r="T52" s="130"/>
      <c r="U52" s="107"/>
      <c r="V52" s="130"/>
      <c r="W52" s="107"/>
      <c r="X52" s="130"/>
      <c r="Y52" s="107"/>
      <c r="Z52" s="130"/>
      <c r="AA52" s="107"/>
      <c r="AB52" s="130"/>
      <c r="AC52" s="107"/>
      <c r="AD52" s="130"/>
      <c r="AE52" s="107"/>
      <c r="AF52" s="130"/>
      <c r="AG52" s="107"/>
      <c r="AH52" s="130"/>
      <c r="AI52" s="107"/>
      <c r="AJ52" s="130"/>
      <c r="AK52" s="130"/>
      <c r="AL52" s="128"/>
    </row>
    <row r="53" spans="1:38">
      <c r="A53" s="107"/>
      <c r="B53" s="128"/>
      <c r="C53" s="136"/>
      <c r="D53" s="130"/>
      <c r="E53" s="127"/>
      <c r="F53" s="127"/>
      <c r="G53" s="128"/>
      <c r="H53" s="130"/>
      <c r="I53" s="107"/>
      <c r="J53" s="130"/>
      <c r="K53" s="107"/>
      <c r="L53" s="130"/>
      <c r="M53" s="107"/>
      <c r="N53" s="130"/>
      <c r="O53" s="107"/>
      <c r="P53" s="130"/>
      <c r="Q53" s="107"/>
      <c r="R53" s="130"/>
      <c r="S53" s="107"/>
      <c r="T53" s="130"/>
      <c r="U53" s="107"/>
      <c r="V53" s="130"/>
      <c r="W53" s="107"/>
      <c r="X53" s="130"/>
      <c r="Y53" s="107"/>
      <c r="Z53" s="130"/>
      <c r="AA53" s="107"/>
      <c r="AB53" s="130"/>
      <c r="AC53" s="107"/>
      <c r="AD53" s="130"/>
      <c r="AE53" s="107"/>
      <c r="AF53" s="130"/>
      <c r="AG53" s="107"/>
      <c r="AH53" s="130"/>
      <c r="AI53" s="107"/>
      <c r="AJ53" s="130"/>
      <c r="AK53" s="130"/>
      <c r="AL53" s="128"/>
    </row>
    <row r="54" spans="1:38">
      <c r="A54" s="107"/>
      <c r="B54" s="128"/>
      <c r="C54" s="136"/>
      <c r="D54" s="130"/>
      <c r="E54" s="127"/>
      <c r="F54" s="127"/>
      <c r="G54" s="128"/>
      <c r="H54" s="130"/>
      <c r="I54" s="107"/>
      <c r="J54" s="130"/>
      <c r="K54" s="107"/>
      <c r="L54" s="130"/>
      <c r="M54" s="107"/>
      <c r="N54" s="130"/>
      <c r="O54" s="107"/>
      <c r="P54" s="130"/>
      <c r="Q54" s="107"/>
      <c r="R54" s="130"/>
      <c r="S54" s="107"/>
      <c r="T54" s="130"/>
      <c r="U54" s="107"/>
      <c r="V54" s="130"/>
      <c r="W54" s="107"/>
      <c r="X54" s="130"/>
      <c r="Y54" s="107"/>
      <c r="Z54" s="130"/>
      <c r="AA54" s="107"/>
      <c r="AB54" s="130"/>
      <c r="AC54" s="107"/>
      <c r="AD54" s="130"/>
      <c r="AE54" s="107"/>
      <c r="AF54" s="130"/>
      <c r="AG54" s="107"/>
      <c r="AH54" s="130"/>
      <c r="AI54" s="107"/>
      <c r="AJ54" s="130"/>
      <c r="AK54" s="130"/>
      <c r="AL54" s="128"/>
    </row>
    <row r="55" spans="1:38">
      <c r="A55" s="107"/>
      <c r="B55" s="128"/>
      <c r="C55" s="136"/>
      <c r="D55" s="130"/>
      <c r="E55" s="127"/>
      <c r="F55" s="127"/>
      <c r="G55" s="128"/>
      <c r="H55" s="130"/>
      <c r="I55" s="107"/>
      <c r="J55" s="130"/>
      <c r="K55" s="107"/>
      <c r="L55" s="130"/>
      <c r="M55" s="107"/>
      <c r="N55" s="130"/>
      <c r="O55" s="107"/>
      <c r="P55" s="130"/>
      <c r="Q55" s="107"/>
      <c r="R55" s="130"/>
      <c r="S55" s="107"/>
      <c r="T55" s="130"/>
      <c r="U55" s="107"/>
      <c r="V55" s="130"/>
      <c r="W55" s="107"/>
      <c r="X55" s="130"/>
      <c r="Y55" s="107"/>
      <c r="Z55" s="130"/>
      <c r="AA55" s="107"/>
      <c r="AB55" s="130"/>
      <c r="AC55" s="107"/>
      <c r="AD55" s="130"/>
      <c r="AE55" s="107"/>
      <c r="AF55" s="130"/>
      <c r="AG55" s="107"/>
      <c r="AH55" s="130"/>
      <c r="AI55" s="107"/>
      <c r="AJ55" s="130"/>
      <c r="AK55" s="130"/>
      <c r="AL55" s="128"/>
    </row>
    <row r="56" spans="1:38">
      <c r="A56" s="107"/>
      <c r="B56" s="128"/>
      <c r="C56" s="136"/>
      <c r="D56" s="130"/>
      <c r="E56" s="127"/>
      <c r="F56" s="127"/>
      <c r="G56" s="128"/>
      <c r="H56" s="130"/>
      <c r="I56" s="107"/>
      <c r="J56" s="130"/>
      <c r="K56" s="107"/>
      <c r="L56" s="130"/>
      <c r="M56" s="107"/>
      <c r="N56" s="130"/>
      <c r="O56" s="107"/>
      <c r="P56" s="130"/>
      <c r="Q56" s="107"/>
      <c r="R56" s="130"/>
      <c r="S56" s="107"/>
      <c r="T56" s="130"/>
      <c r="U56" s="107"/>
      <c r="V56" s="130"/>
      <c r="W56" s="107"/>
      <c r="X56" s="130"/>
      <c r="Y56" s="107"/>
      <c r="Z56" s="130"/>
      <c r="AA56" s="107"/>
      <c r="AB56" s="130"/>
      <c r="AC56" s="107"/>
      <c r="AD56" s="130"/>
      <c r="AE56" s="107"/>
      <c r="AF56" s="130"/>
      <c r="AG56" s="107"/>
      <c r="AH56" s="130"/>
      <c r="AI56" s="107"/>
      <c r="AJ56" s="130"/>
      <c r="AK56" s="130"/>
      <c r="AL56" s="128"/>
    </row>
    <row r="57" spans="1:38">
      <c r="A57" s="107"/>
      <c r="B57" s="128"/>
      <c r="C57" s="136"/>
      <c r="D57" s="130"/>
      <c r="E57" s="127"/>
      <c r="F57" s="127"/>
      <c r="G57" s="128"/>
      <c r="H57" s="130"/>
      <c r="I57" s="107"/>
      <c r="J57" s="130"/>
      <c r="K57" s="107"/>
      <c r="L57" s="130"/>
      <c r="M57" s="107"/>
      <c r="N57" s="130"/>
      <c r="O57" s="107"/>
      <c r="P57" s="130"/>
      <c r="Q57" s="107"/>
      <c r="R57" s="130"/>
      <c r="S57" s="107"/>
      <c r="T57" s="130"/>
      <c r="U57" s="107"/>
      <c r="V57" s="130"/>
      <c r="W57" s="107"/>
      <c r="X57" s="130"/>
      <c r="Y57" s="107"/>
      <c r="Z57" s="130"/>
      <c r="AA57" s="107"/>
      <c r="AB57" s="130"/>
      <c r="AC57" s="107"/>
      <c r="AD57" s="130"/>
      <c r="AE57" s="107"/>
      <c r="AF57" s="130"/>
      <c r="AG57" s="107"/>
      <c r="AH57" s="130"/>
      <c r="AI57" s="107"/>
      <c r="AJ57" s="130"/>
      <c r="AK57" s="130"/>
      <c r="AL57" s="128"/>
    </row>
    <row r="58" spans="1:38">
      <c r="A58" s="107"/>
      <c r="B58" s="128"/>
      <c r="C58" s="136"/>
      <c r="D58" s="130"/>
      <c r="E58" s="127"/>
      <c r="F58" s="127"/>
      <c r="G58" s="128"/>
      <c r="H58" s="130"/>
      <c r="I58" s="107"/>
      <c r="J58" s="130"/>
      <c r="K58" s="107"/>
      <c r="L58" s="130"/>
      <c r="M58" s="107"/>
      <c r="N58" s="130"/>
      <c r="O58" s="107"/>
      <c r="P58" s="130"/>
      <c r="Q58" s="107"/>
      <c r="R58" s="130"/>
      <c r="S58" s="107"/>
      <c r="T58" s="130"/>
      <c r="U58" s="107"/>
      <c r="V58" s="130"/>
      <c r="W58" s="107"/>
      <c r="X58" s="130"/>
      <c r="Y58" s="107"/>
      <c r="Z58" s="130"/>
      <c r="AA58" s="107"/>
      <c r="AB58" s="130"/>
      <c r="AC58" s="107"/>
      <c r="AD58" s="130"/>
      <c r="AE58" s="107"/>
      <c r="AF58" s="130"/>
      <c r="AG58" s="107"/>
      <c r="AH58" s="130"/>
      <c r="AI58" s="107"/>
      <c r="AJ58" s="130"/>
      <c r="AK58" s="130"/>
      <c r="AL58" s="128"/>
    </row>
    <row r="59" spans="1:38">
      <c r="A59" s="401"/>
      <c r="B59" s="401"/>
      <c r="C59" s="137"/>
      <c r="D59" s="401"/>
      <c r="G59" s="401"/>
      <c r="H59" s="401"/>
      <c r="I59" s="401"/>
      <c r="J59" s="401"/>
      <c r="K59" s="401"/>
      <c r="M59" s="401"/>
      <c r="O59" s="401"/>
      <c r="Q59" s="401"/>
      <c r="S59" s="401"/>
      <c r="U59" s="401"/>
      <c r="W59" s="401"/>
      <c r="Y59" s="401"/>
      <c r="AA59" s="401"/>
      <c r="AC59" s="401"/>
      <c r="AE59" s="401"/>
      <c r="AG59" s="401"/>
      <c r="AI59" s="401"/>
      <c r="AK59" s="401"/>
    </row>
    <row r="60" spans="1:38">
      <c r="A60" s="401"/>
      <c r="B60" s="401"/>
      <c r="C60" s="137"/>
      <c r="D60" s="401"/>
      <c r="G60" s="401"/>
      <c r="H60" s="401"/>
      <c r="I60" s="401"/>
      <c r="J60" s="401"/>
      <c r="K60" s="401"/>
      <c r="M60" s="401"/>
      <c r="O60" s="401"/>
      <c r="Q60" s="401"/>
      <c r="S60" s="401"/>
      <c r="U60" s="401"/>
      <c r="W60" s="401"/>
      <c r="Y60" s="401"/>
      <c r="AA60" s="401"/>
      <c r="AC60" s="401"/>
      <c r="AE60" s="401"/>
      <c r="AG60" s="401"/>
      <c r="AI60" s="401"/>
      <c r="AK60" s="401"/>
    </row>
    <row r="61" spans="1:38">
      <c r="A61" s="401"/>
      <c r="B61" s="401"/>
      <c r="C61" s="137"/>
      <c r="D61" s="401"/>
      <c r="G61" s="401"/>
      <c r="H61" s="401"/>
      <c r="I61" s="401"/>
      <c r="J61" s="401"/>
      <c r="K61" s="401"/>
      <c r="M61" s="401"/>
      <c r="O61" s="401"/>
      <c r="Q61" s="401"/>
      <c r="S61" s="401"/>
      <c r="U61" s="401"/>
      <c r="W61" s="401"/>
      <c r="Y61" s="401"/>
      <c r="AA61" s="401"/>
      <c r="AC61" s="401"/>
      <c r="AE61" s="401"/>
      <c r="AG61" s="401"/>
      <c r="AI61" s="401"/>
      <c r="AK61" s="401"/>
    </row>
  </sheetData>
  <mergeCells count="16">
    <mergeCell ref="C2:D2"/>
    <mergeCell ref="G7:H7"/>
    <mergeCell ref="AG7:AH7"/>
    <mergeCell ref="S7:T7"/>
    <mergeCell ref="I7:J7"/>
    <mergeCell ref="O7:P7"/>
    <mergeCell ref="M7:N7"/>
    <mergeCell ref="K7:L7"/>
    <mergeCell ref="Q7:R7"/>
    <mergeCell ref="Y7:Z7"/>
    <mergeCell ref="W7:X7"/>
    <mergeCell ref="AI7:AJ7"/>
    <mergeCell ref="AE7:AF7"/>
    <mergeCell ref="AC7:AD7"/>
    <mergeCell ref="AA7:AB7"/>
    <mergeCell ref="U7:V7"/>
  </mergeCells>
  <conditionalFormatting sqref="B7">
    <cfRule type="duplicateValues" dxfId="12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Right="0"/>
  </sheetPr>
  <dimension ref="A1:AO1048576"/>
  <sheetViews>
    <sheetView tabSelected="1" zoomScale="85" zoomScaleNormal="85" workbookViewId="0">
      <pane xSplit="2" ySplit="1" topLeftCell="C34" activePane="bottomRight" state="frozen"/>
      <selection pane="bottomRight" activeCell="A34" sqref="A34"/>
      <selection pane="bottomLeft" activeCell="A2" sqref="A2"/>
      <selection pane="topRight" activeCell="C1" sqref="C1"/>
    </sheetView>
  </sheetViews>
  <sheetFormatPr defaultColWidth="14.42578125" defaultRowHeight="19.5" customHeight="1" outlineLevelCol="1"/>
  <cols>
    <col min="1" max="1" width="37.42578125" style="149" customWidth="1"/>
    <col min="2" max="2" width="45.28515625" style="139" customWidth="1"/>
    <col min="3" max="3" width="26.85546875" style="149" customWidth="1"/>
    <col min="4" max="4" width="14.28515625" style="149" customWidth="1"/>
    <col min="5" max="5" width="37" style="139" bestFit="1" customWidth="1"/>
    <col min="6" max="6" width="117.7109375" style="149" bestFit="1" customWidth="1"/>
    <col min="7" max="7" width="7.85546875" style="149" customWidth="1"/>
    <col min="8" max="8" width="8.28515625" style="173" customWidth="1" collapsed="1"/>
    <col min="9" max="11" width="9.42578125" style="139" hidden="1" customWidth="1" outlineLevel="1"/>
    <col min="12" max="12" width="7.5703125" style="139" customWidth="1" collapsed="1"/>
    <col min="13" max="15" width="9.42578125" style="139" hidden="1" customWidth="1" outlineLevel="1"/>
    <col min="16" max="16" width="9.42578125" style="139" customWidth="1" collapsed="1"/>
    <col min="17" max="20" width="9.42578125" style="139" hidden="1" customWidth="1" outlineLevel="1"/>
    <col min="21" max="21" width="7.7109375" style="154" customWidth="1" collapsed="1"/>
    <col min="22" max="25" width="9.42578125" style="139" hidden="1" customWidth="1" outlineLevel="1"/>
    <col min="26" max="26" width="9.42578125" style="139" customWidth="1"/>
    <col min="27" max="27" width="12.7109375" style="139" customWidth="1"/>
    <col min="28" max="28" width="177.5703125" style="149" customWidth="1"/>
    <col min="29" max="29" width="137.7109375" style="149" bestFit="1" customWidth="1"/>
    <col min="30" max="30" width="14.42578125" style="154"/>
    <col min="31" max="16384" width="14.42578125" style="139"/>
  </cols>
  <sheetData>
    <row r="1" spans="1:29" s="162" customFormat="1" ht="118.5" customHeight="1">
      <c r="A1" s="204" t="s">
        <v>5</v>
      </c>
      <c r="B1" s="205" t="s">
        <v>6</v>
      </c>
      <c r="C1" s="215" t="s">
        <v>26</v>
      </c>
      <c r="D1" s="215" t="s">
        <v>27</v>
      </c>
      <c r="E1" s="215" t="s">
        <v>28</v>
      </c>
      <c r="F1" s="215" t="s">
        <v>8</v>
      </c>
      <c r="G1" s="217" t="s">
        <v>29</v>
      </c>
      <c r="H1" s="216" t="s">
        <v>30</v>
      </c>
      <c r="I1" s="220" t="s">
        <v>31</v>
      </c>
      <c r="J1" s="168" t="s">
        <v>32</v>
      </c>
      <c r="K1" s="170" t="s">
        <v>33</v>
      </c>
      <c r="L1" s="174" t="s">
        <v>34</v>
      </c>
      <c r="M1" s="176" t="s">
        <v>35</v>
      </c>
      <c r="N1" s="178" t="s">
        <v>36</v>
      </c>
      <c r="O1" s="187" t="s">
        <v>37</v>
      </c>
      <c r="P1" s="179" t="s">
        <v>38</v>
      </c>
      <c r="Q1" s="219" t="s">
        <v>39</v>
      </c>
      <c r="R1" s="182" t="s">
        <v>40</v>
      </c>
      <c r="S1" s="183" t="s">
        <v>41</v>
      </c>
      <c r="T1" s="185" t="s">
        <v>42</v>
      </c>
      <c r="U1" s="189" t="s">
        <v>43</v>
      </c>
      <c r="V1" s="191" t="s">
        <v>44</v>
      </c>
      <c r="W1" s="192" t="s">
        <v>45</v>
      </c>
      <c r="X1" s="194" t="s">
        <v>46</v>
      </c>
      <c r="Y1" s="196" t="s">
        <v>47</v>
      </c>
      <c r="Z1" s="203" t="s">
        <v>48</v>
      </c>
      <c r="AA1" s="202" t="s">
        <v>49</v>
      </c>
      <c r="AB1" s="404" t="s">
        <v>50</v>
      </c>
      <c r="AC1" s="206" t="s">
        <v>7</v>
      </c>
    </row>
    <row r="2" spans="1:29" ht="19.5" customHeight="1">
      <c r="A2" s="209" t="s">
        <v>51</v>
      </c>
      <c r="B2" s="350" t="s">
        <v>52</v>
      </c>
      <c r="C2" s="207" t="s">
        <v>53</v>
      </c>
      <c r="D2" s="208" t="s">
        <v>54</v>
      </c>
      <c r="E2" s="322" t="s">
        <v>55</v>
      </c>
      <c r="F2" s="322" t="s">
        <v>56</v>
      </c>
      <c r="G2" s="218">
        <f t="shared" ref="G2:G30" si="0">AVERAGE(H2,L2,P2,U2)</f>
        <v>0.66666666666666663</v>
      </c>
      <c r="H2" s="172">
        <f t="shared" ref="H2:H30" si="1">COUNTIF(I2:K2,"Y") / COUNTA(I2:K2)</f>
        <v>0.66666666666666663</v>
      </c>
      <c r="I2" s="164" t="s">
        <v>57</v>
      </c>
      <c r="J2" s="169" t="s">
        <v>4</v>
      </c>
      <c r="K2" s="171" t="s">
        <v>57</v>
      </c>
      <c r="L2" s="175">
        <f t="shared" ref="L2:L30" si="2">COUNTIF(M2:O2,"Y") / COUNTA(M2:O2)</f>
        <v>1</v>
      </c>
      <c r="M2" s="177" t="s">
        <v>57</v>
      </c>
      <c r="N2" s="157" t="s">
        <v>57</v>
      </c>
      <c r="O2" s="188" t="s">
        <v>57</v>
      </c>
      <c r="P2" s="180">
        <f t="shared" ref="P2:P30" si="3">COUNTIF(Q2:T2,"Y") / COUNTA(Q2:T2)</f>
        <v>0.5</v>
      </c>
      <c r="Q2" s="181" t="s">
        <v>57</v>
      </c>
      <c r="R2" s="156" t="s">
        <v>57</v>
      </c>
      <c r="S2" s="184" t="s">
        <v>4</v>
      </c>
      <c r="T2" s="186" t="s">
        <v>4</v>
      </c>
      <c r="U2" s="190">
        <f t="shared" ref="U2:U30" si="4">COUNTIF(V2:Y2,"Y") / COUNTA(V2:Y2)</f>
        <v>0.5</v>
      </c>
      <c r="V2" s="158" t="s">
        <v>57</v>
      </c>
      <c r="W2" s="193" t="s">
        <v>4</v>
      </c>
      <c r="X2" s="195" t="s">
        <v>57</v>
      </c>
      <c r="Y2" s="197" t="s">
        <v>4</v>
      </c>
      <c r="Z2" s="198" t="s">
        <v>58</v>
      </c>
      <c r="AA2" s="199" t="s">
        <v>59</v>
      </c>
      <c r="AB2" s="161" t="s">
        <v>60</v>
      </c>
      <c r="AC2" s="159" t="s">
        <v>61</v>
      </c>
    </row>
    <row r="3" spans="1:29" ht="19.5" customHeight="1">
      <c r="A3" s="207" t="s">
        <v>62</v>
      </c>
      <c r="B3" s="350" t="s">
        <v>63</v>
      </c>
      <c r="C3" s="208" t="s">
        <v>64</v>
      </c>
      <c r="D3" s="208" t="s">
        <v>54</v>
      </c>
      <c r="E3" s="322" t="s">
        <v>55</v>
      </c>
      <c r="F3" s="322" t="s">
        <v>65</v>
      </c>
      <c r="G3" s="218">
        <f t="shared" si="0"/>
        <v>0.27083333333333331</v>
      </c>
      <c r="H3" s="172">
        <f t="shared" si="1"/>
        <v>0</v>
      </c>
      <c r="I3" s="163" t="s">
        <v>4</v>
      </c>
      <c r="J3" s="169" t="s">
        <v>4</v>
      </c>
      <c r="K3" s="171" t="s">
        <v>4</v>
      </c>
      <c r="L3" s="175">
        <f t="shared" si="2"/>
        <v>0.33333333333333331</v>
      </c>
      <c r="M3" s="177" t="s">
        <v>4</v>
      </c>
      <c r="N3" s="157" t="s">
        <v>4</v>
      </c>
      <c r="O3" s="188" t="s">
        <v>57</v>
      </c>
      <c r="P3" s="180">
        <f t="shared" si="3"/>
        <v>0.25</v>
      </c>
      <c r="Q3" s="181" t="s">
        <v>4</v>
      </c>
      <c r="R3" s="156" t="s">
        <v>4</v>
      </c>
      <c r="S3" s="184" t="s">
        <v>57</v>
      </c>
      <c r="T3" s="186" t="s">
        <v>4</v>
      </c>
      <c r="U3" s="190">
        <f t="shared" si="4"/>
        <v>0.5</v>
      </c>
      <c r="V3" s="158" t="s">
        <v>57</v>
      </c>
      <c r="W3" s="193" t="s">
        <v>4</v>
      </c>
      <c r="X3" s="195" t="s">
        <v>57</v>
      </c>
      <c r="Y3" s="197" t="s">
        <v>4</v>
      </c>
      <c r="Z3" s="198" t="s">
        <v>66</v>
      </c>
      <c r="AA3" s="199" t="s">
        <v>67</v>
      </c>
      <c r="AB3" s="161" t="s">
        <v>68</v>
      </c>
      <c r="AC3" s="159" t="s">
        <v>69</v>
      </c>
    </row>
    <row r="4" spans="1:29" ht="19.5" customHeight="1">
      <c r="A4" s="209" t="s">
        <v>70</v>
      </c>
      <c r="B4" s="350" t="s">
        <v>71</v>
      </c>
      <c r="C4" s="208" t="s">
        <v>53</v>
      </c>
      <c r="D4" s="208" t="s">
        <v>72</v>
      </c>
      <c r="E4" s="322" t="s">
        <v>55</v>
      </c>
      <c r="F4" s="322" t="s">
        <v>73</v>
      </c>
      <c r="G4" s="218">
        <f t="shared" si="0"/>
        <v>0.8125</v>
      </c>
      <c r="H4" s="172">
        <f t="shared" si="1"/>
        <v>1</v>
      </c>
      <c r="I4" s="164" t="s">
        <v>57</v>
      </c>
      <c r="J4" s="169" t="s">
        <v>57</v>
      </c>
      <c r="K4" s="171" t="s">
        <v>57</v>
      </c>
      <c r="L4" s="175">
        <f t="shared" si="2"/>
        <v>1</v>
      </c>
      <c r="M4" s="177" t="s">
        <v>57</v>
      </c>
      <c r="N4" s="157" t="s">
        <v>57</v>
      </c>
      <c r="O4" s="188" t="s">
        <v>57</v>
      </c>
      <c r="P4" s="180">
        <f t="shared" si="3"/>
        <v>0.5</v>
      </c>
      <c r="Q4" s="181" t="s">
        <v>57</v>
      </c>
      <c r="R4" s="156" t="s">
        <v>4</v>
      </c>
      <c r="S4" s="184" t="s">
        <v>57</v>
      </c>
      <c r="T4" s="186" t="s">
        <v>4</v>
      </c>
      <c r="U4" s="190">
        <f t="shared" si="4"/>
        <v>0.75</v>
      </c>
      <c r="V4" s="158" t="s">
        <v>57</v>
      </c>
      <c r="W4" s="193" t="s">
        <v>4</v>
      </c>
      <c r="X4" s="195" t="s">
        <v>57</v>
      </c>
      <c r="Y4" s="197" t="s">
        <v>57</v>
      </c>
      <c r="Z4" s="198" t="s">
        <v>66</v>
      </c>
      <c r="AA4" s="199" t="s">
        <v>59</v>
      </c>
      <c r="AB4" s="161" t="s">
        <v>74</v>
      </c>
      <c r="AC4" s="159" t="s">
        <v>75</v>
      </c>
    </row>
    <row r="5" spans="1:29" s="143" customFormat="1" ht="19.5" customHeight="1">
      <c r="A5" s="207" t="s">
        <v>76</v>
      </c>
      <c r="B5" s="350" t="s">
        <v>77</v>
      </c>
      <c r="C5" s="208" t="s">
        <v>78</v>
      </c>
      <c r="D5" s="208" t="s">
        <v>54</v>
      </c>
      <c r="E5" s="322" t="s">
        <v>55</v>
      </c>
      <c r="F5" s="322" t="s">
        <v>79</v>
      </c>
      <c r="G5" s="218">
        <f t="shared" si="0"/>
        <v>0.875</v>
      </c>
      <c r="H5" s="172">
        <f t="shared" si="1"/>
        <v>1</v>
      </c>
      <c r="I5" s="163" t="s">
        <v>57</v>
      </c>
      <c r="J5" s="169" t="s">
        <v>57</v>
      </c>
      <c r="K5" s="171" t="s">
        <v>57</v>
      </c>
      <c r="L5" s="175">
        <f t="shared" si="2"/>
        <v>1</v>
      </c>
      <c r="M5" s="177" t="s">
        <v>57</v>
      </c>
      <c r="N5" s="157" t="s">
        <v>57</v>
      </c>
      <c r="O5" s="188" t="s">
        <v>57</v>
      </c>
      <c r="P5" s="180">
        <f t="shared" si="3"/>
        <v>0.75</v>
      </c>
      <c r="Q5" s="181" t="s">
        <v>57</v>
      </c>
      <c r="R5" s="156" t="s">
        <v>57</v>
      </c>
      <c r="S5" s="184" t="s">
        <v>57</v>
      </c>
      <c r="T5" s="186" t="s">
        <v>4</v>
      </c>
      <c r="U5" s="190">
        <f t="shared" si="4"/>
        <v>0.75</v>
      </c>
      <c r="V5" s="158" t="s">
        <v>57</v>
      </c>
      <c r="W5" s="193" t="s">
        <v>4</v>
      </c>
      <c r="X5" s="195" t="s">
        <v>57</v>
      </c>
      <c r="Y5" s="197" t="s">
        <v>57</v>
      </c>
      <c r="Z5" s="198" t="s">
        <v>58</v>
      </c>
      <c r="AA5" s="200" t="s">
        <v>59</v>
      </c>
      <c r="AB5" s="161" t="s">
        <v>80</v>
      </c>
      <c r="AC5" s="159" t="s">
        <v>81</v>
      </c>
    </row>
    <row r="6" spans="1:29" ht="19.5" customHeight="1">
      <c r="A6" s="209" t="s">
        <v>82</v>
      </c>
      <c r="B6" s="350" t="s">
        <v>83</v>
      </c>
      <c r="C6" s="210" t="s">
        <v>84</v>
      </c>
      <c r="D6" s="208" t="s">
        <v>54</v>
      </c>
      <c r="E6" s="322" t="s">
        <v>85</v>
      </c>
      <c r="F6" s="322" t="s">
        <v>86</v>
      </c>
      <c r="G6" s="218">
        <f t="shared" si="0"/>
        <v>0.77083333333333326</v>
      </c>
      <c r="H6" s="172">
        <f t="shared" si="1"/>
        <v>0.66666666666666663</v>
      </c>
      <c r="I6" s="164" t="s">
        <v>57</v>
      </c>
      <c r="J6" s="169" t="s">
        <v>4</v>
      </c>
      <c r="K6" s="171" t="s">
        <v>57</v>
      </c>
      <c r="L6" s="175">
        <f t="shared" si="2"/>
        <v>0.66666666666666663</v>
      </c>
      <c r="M6" s="177" t="s">
        <v>57</v>
      </c>
      <c r="N6" s="157" t="s">
        <v>57</v>
      </c>
      <c r="O6" s="188" t="s">
        <v>4</v>
      </c>
      <c r="P6" s="180">
        <f t="shared" si="3"/>
        <v>1</v>
      </c>
      <c r="Q6" s="181" t="s">
        <v>57</v>
      </c>
      <c r="R6" s="156" t="s">
        <v>57</v>
      </c>
      <c r="S6" s="184" t="s">
        <v>57</v>
      </c>
      <c r="T6" s="186" t="s">
        <v>57</v>
      </c>
      <c r="U6" s="190">
        <f t="shared" si="4"/>
        <v>0.75</v>
      </c>
      <c r="V6" s="158" t="s">
        <v>57</v>
      </c>
      <c r="W6" s="193" t="s">
        <v>57</v>
      </c>
      <c r="X6" s="195" t="s">
        <v>57</v>
      </c>
      <c r="Y6" s="197" t="s">
        <v>4</v>
      </c>
      <c r="Z6" s="198" t="s">
        <v>87</v>
      </c>
      <c r="AA6" s="199" t="s">
        <v>59</v>
      </c>
      <c r="AB6" s="405" t="s">
        <v>88</v>
      </c>
      <c r="AC6" s="159" t="s">
        <v>89</v>
      </c>
    </row>
    <row r="7" spans="1:29" ht="19.5" customHeight="1">
      <c r="A7" s="209" t="s">
        <v>90</v>
      </c>
      <c r="B7" s="350" t="s">
        <v>91</v>
      </c>
      <c r="C7" s="210" t="s">
        <v>92</v>
      </c>
      <c r="D7" s="208" t="s">
        <v>54</v>
      </c>
      <c r="E7" s="322" t="s">
        <v>85</v>
      </c>
      <c r="F7" s="322" t="s">
        <v>93</v>
      </c>
      <c r="G7" s="218">
        <f t="shared" si="0"/>
        <v>0.22916666666666666</v>
      </c>
      <c r="H7" s="172">
        <f t="shared" si="1"/>
        <v>0</v>
      </c>
      <c r="I7" s="164" t="s">
        <v>4</v>
      </c>
      <c r="J7" s="169" t="s">
        <v>4</v>
      </c>
      <c r="K7" s="171" t="s">
        <v>4</v>
      </c>
      <c r="L7" s="175">
        <f t="shared" si="2"/>
        <v>0.66666666666666663</v>
      </c>
      <c r="M7" s="177" t="s">
        <v>57</v>
      </c>
      <c r="N7" s="157" t="s">
        <v>57</v>
      </c>
      <c r="O7" s="188" t="s">
        <v>4</v>
      </c>
      <c r="P7" s="180">
        <f t="shared" si="3"/>
        <v>0.25</v>
      </c>
      <c r="Q7" s="181" t="s">
        <v>4</v>
      </c>
      <c r="R7" s="156" t="s">
        <v>57</v>
      </c>
      <c r="S7" s="184" t="s">
        <v>4</v>
      </c>
      <c r="T7" s="186" t="s">
        <v>4</v>
      </c>
      <c r="U7" s="190">
        <f t="shared" si="4"/>
        <v>0</v>
      </c>
      <c r="V7" s="158" t="s">
        <v>4</v>
      </c>
      <c r="W7" s="193" t="s">
        <v>4</v>
      </c>
      <c r="X7" s="195" t="s">
        <v>4</v>
      </c>
      <c r="Y7" s="197" t="s">
        <v>4</v>
      </c>
      <c r="Z7" s="198" t="s">
        <v>58</v>
      </c>
      <c r="AA7" s="199" t="s">
        <v>59</v>
      </c>
      <c r="AB7" s="161" t="s">
        <v>94</v>
      </c>
      <c r="AC7" s="159" t="s">
        <v>95</v>
      </c>
    </row>
    <row r="8" spans="1:29" ht="19.5" customHeight="1">
      <c r="A8" s="209" t="s">
        <v>96</v>
      </c>
      <c r="B8" s="350" t="s">
        <v>97</v>
      </c>
      <c r="C8" s="210" t="s">
        <v>53</v>
      </c>
      <c r="D8" s="208" t="s">
        <v>54</v>
      </c>
      <c r="E8" s="322" t="s">
        <v>85</v>
      </c>
      <c r="F8" s="322" t="s">
        <v>98</v>
      </c>
      <c r="G8" s="218">
        <f t="shared" si="0"/>
        <v>0.25</v>
      </c>
      <c r="H8" s="172">
        <f t="shared" si="1"/>
        <v>0</v>
      </c>
      <c r="I8" s="164" t="s">
        <v>4</v>
      </c>
      <c r="J8" s="169" t="s">
        <v>4</v>
      </c>
      <c r="K8" s="171" t="s">
        <v>4</v>
      </c>
      <c r="L8" s="175">
        <f t="shared" si="2"/>
        <v>0</v>
      </c>
      <c r="M8" s="177" t="s">
        <v>4</v>
      </c>
      <c r="N8" s="157" t="s">
        <v>4</v>
      </c>
      <c r="O8" s="188" t="s">
        <v>4</v>
      </c>
      <c r="P8" s="180">
        <f t="shared" si="3"/>
        <v>0.75</v>
      </c>
      <c r="Q8" s="181" t="s">
        <v>57</v>
      </c>
      <c r="R8" s="156" t="s">
        <v>57</v>
      </c>
      <c r="S8" s="184" t="s">
        <v>57</v>
      </c>
      <c r="T8" s="186" t="s">
        <v>4</v>
      </c>
      <c r="U8" s="190">
        <f t="shared" si="4"/>
        <v>0.25</v>
      </c>
      <c r="V8" s="158" t="s">
        <v>4</v>
      </c>
      <c r="W8" s="193" t="s">
        <v>4</v>
      </c>
      <c r="X8" s="195" t="s">
        <v>57</v>
      </c>
      <c r="Y8" s="197" t="s">
        <v>4</v>
      </c>
      <c r="Z8" s="198" t="s">
        <v>87</v>
      </c>
      <c r="AA8" s="199" t="s">
        <v>67</v>
      </c>
      <c r="AB8" s="161" t="s">
        <v>99</v>
      </c>
      <c r="AC8" s="159" t="s">
        <v>100</v>
      </c>
    </row>
    <row r="9" spans="1:29" ht="15">
      <c r="A9" s="207" t="s">
        <v>101</v>
      </c>
      <c r="B9" s="350" t="s">
        <v>102</v>
      </c>
      <c r="C9" s="208" t="s">
        <v>92</v>
      </c>
      <c r="D9" s="208" t="s">
        <v>54</v>
      </c>
      <c r="E9" s="322" t="s">
        <v>103</v>
      </c>
      <c r="F9" s="322" t="s">
        <v>104</v>
      </c>
      <c r="G9" s="218">
        <f t="shared" si="0"/>
        <v>0.4375</v>
      </c>
      <c r="H9" s="172">
        <f t="shared" si="1"/>
        <v>0.33333333333333331</v>
      </c>
      <c r="I9" s="163" t="s">
        <v>4</v>
      </c>
      <c r="J9" s="169" t="s">
        <v>4</v>
      </c>
      <c r="K9" s="171" t="s">
        <v>57</v>
      </c>
      <c r="L9" s="175">
        <f t="shared" si="2"/>
        <v>0.66666666666666663</v>
      </c>
      <c r="M9" s="177" t="s">
        <v>4</v>
      </c>
      <c r="N9" s="157" t="s">
        <v>57</v>
      </c>
      <c r="O9" s="188" t="s">
        <v>57</v>
      </c>
      <c r="P9" s="180">
        <f t="shared" si="3"/>
        <v>0</v>
      </c>
      <c r="Q9" s="181" t="s">
        <v>4</v>
      </c>
      <c r="R9" s="156" t="s">
        <v>4</v>
      </c>
      <c r="S9" s="184" t="s">
        <v>4</v>
      </c>
      <c r="T9" s="186" t="s">
        <v>4</v>
      </c>
      <c r="U9" s="190">
        <f t="shared" si="4"/>
        <v>0.75</v>
      </c>
      <c r="V9" s="158" t="s">
        <v>57</v>
      </c>
      <c r="W9" s="193" t="s">
        <v>57</v>
      </c>
      <c r="X9" s="195" t="s">
        <v>57</v>
      </c>
      <c r="Y9" s="197" t="s">
        <v>4</v>
      </c>
      <c r="Z9" s="198" t="s">
        <v>87</v>
      </c>
      <c r="AA9" s="200" t="s">
        <v>67</v>
      </c>
      <c r="AB9" s="161" t="s">
        <v>105</v>
      </c>
      <c r="AC9" s="159" t="s">
        <v>106</v>
      </c>
    </row>
    <row r="10" spans="1:29" ht="19.5" customHeight="1">
      <c r="A10" s="209" t="s">
        <v>107</v>
      </c>
      <c r="B10" s="350" t="s">
        <v>108</v>
      </c>
      <c r="C10" s="210" t="s">
        <v>92</v>
      </c>
      <c r="D10" s="208" t="s">
        <v>54</v>
      </c>
      <c r="E10" s="322" t="s">
        <v>103</v>
      </c>
      <c r="F10" s="322" t="s">
        <v>109</v>
      </c>
      <c r="G10" s="218">
        <f t="shared" si="0"/>
        <v>0.41666666666666663</v>
      </c>
      <c r="H10" s="172">
        <f t="shared" si="1"/>
        <v>0.33333333333333331</v>
      </c>
      <c r="I10" s="164" t="s">
        <v>4</v>
      </c>
      <c r="J10" s="169" t="s">
        <v>4</v>
      </c>
      <c r="K10" s="171" t="s">
        <v>57</v>
      </c>
      <c r="L10" s="175">
        <f t="shared" si="2"/>
        <v>0.33333333333333331</v>
      </c>
      <c r="M10" s="177" t="s">
        <v>4</v>
      </c>
      <c r="N10" s="157" t="s">
        <v>57</v>
      </c>
      <c r="O10" s="188" t="s">
        <v>4</v>
      </c>
      <c r="P10" s="180">
        <f t="shared" si="3"/>
        <v>0.25</v>
      </c>
      <c r="Q10" s="181" t="s">
        <v>4</v>
      </c>
      <c r="R10" s="156" t="s">
        <v>57</v>
      </c>
      <c r="S10" s="184" t="s">
        <v>4</v>
      </c>
      <c r="T10" s="186" t="s">
        <v>4</v>
      </c>
      <c r="U10" s="190">
        <f t="shared" si="4"/>
        <v>0.75</v>
      </c>
      <c r="V10" s="158" t="s">
        <v>57</v>
      </c>
      <c r="W10" s="193" t="s">
        <v>4</v>
      </c>
      <c r="X10" s="195" t="s">
        <v>57</v>
      </c>
      <c r="Y10" s="197" t="s">
        <v>57</v>
      </c>
      <c r="Z10" s="198" t="s">
        <v>87</v>
      </c>
      <c r="AA10" s="199" t="s">
        <v>110</v>
      </c>
      <c r="AB10" s="161" t="s">
        <v>111</v>
      </c>
      <c r="AC10" s="159" t="s">
        <v>112</v>
      </c>
    </row>
    <row r="11" spans="1:29" ht="19.5" customHeight="1">
      <c r="A11" s="209" t="s">
        <v>113</v>
      </c>
      <c r="B11" s="350" t="s">
        <v>114</v>
      </c>
      <c r="C11" s="210" t="s">
        <v>92</v>
      </c>
      <c r="D11" s="208" t="s">
        <v>54</v>
      </c>
      <c r="E11" s="322" t="s">
        <v>103</v>
      </c>
      <c r="F11" s="322" t="s">
        <v>115</v>
      </c>
      <c r="G11" s="218">
        <f t="shared" si="0"/>
        <v>0.60416666666666663</v>
      </c>
      <c r="H11" s="172">
        <f t="shared" si="1"/>
        <v>0</v>
      </c>
      <c r="I11" s="164" t="s">
        <v>4</v>
      </c>
      <c r="J11" s="169" t="s">
        <v>4</v>
      </c>
      <c r="K11" s="171" t="s">
        <v>4</v>
      </c>
      <c r="L11" s="175">
        <f t="shared" si="2"/>
        <v>0.66666666666666663</v>
      </c>
      <c r="M11" s="177" t="s">
        <v>4</v>
      </c>
      <c r="N11" s="157" t="s">
        <v>57</v>
      </c>
      <c r="O11" s="188" t="s">
        <v>57</v>
      </c>
      <c r="P11" s="180">
        <f t="shared" si="3"/>
        <v>0.75</v>
      </c>
      <c r="Q11" s="181" t="s">
        <v>57</v>
      </c>
      <c r="R11" s="156" t="s">
        <v>57</v>
      </c>
      <c r="S11" s="184" t="s">
        <v>57</v>
      </c>
      <c r="T11" s="186" t="s">
        <v>4</v>
      </c>
      <c r="U11" s="190">
        <f t="shared" si="4"/>
        <v>1</v>
      </c>
      <c r="V11" s="158" t="s">
        <v>57</v>
      </c>
      <c r="W11" s="193" t="s">
        <v>57</v>
      </c>
      <c r="X11" s="195" t="s">
        <v>57</v>
      </c>
      <c r="Y11" s="197" t="s">
        <v>57</v>
      </c>
      <c r="Z11" s="198" t="s">
        <v>87</v>
      </c>
      <c r="AA11" s="200" t="s">
        <v>67</v>
      </c>
      <c r="AB11" s="161" t="s">
        <v>116</v>
      </c>
      <c r="AC11" s="159" t="s">
        <v>117</v>
      </c>
    </row>
    <row r="12" spans="1:29" ht="19.5" customHeight="1">
      <c r="A12" s="207" t="s">
        <v>118</v>
      </c>
      <c r="B12" s="350" t="s">
        <v>119</v>
      </c>
      <c r="C12" s="208" t="s">
        <v>92</v>
      </c>
      <c r="D12" s="208" t="s">
        <v>54</v>
      </c>
      <c r="E12" s="322" t="s">
        <v>103</v>
      </c>
      <c r="F12" s="322" t="s">
        <v>120</v>
      </c>
      <c r="G12" s="218">
        <f t="shared" si="0"/>
        <v>0.6875</v>
      </c>
      <c r="H12" s="172">
        <f t="shared" si="1"/>
        <v>0.33333333333333331</v>
      </c>
      <c r="I12" s="163" t="s">
        <v>4</v>
      </c>
      <c r="J12" s="169" t="s">
        <v>4</v>
      </c>
      <c r="K12" s="171" t="s">
        <v>57</v>
      </c>
      <c r="L12" s="175">
        <f t="shared" si="2"/>
        <v>0.66666666666666663</v>
      </c>
      <c r="M12" s="177" t="s">
        <v>4</v>
      </c>
      <c r="N12" s="157" t="s">
        <v>57</v>
      </c>
      <c r="O12" s="188" t="s">
        <v>57</v>
      </c>
      <c r="P12" s="180">
        <f t="shared" si="3"/>
        <v>0.75</v>
      </c>
      <c r="Q12" s="181" t="s">
        <v>57</v>
      </c>
      <c r="R12" s="156" t="s">
        <v>57</v>
      </c>
      <c r="S12" s="184" t="s">
        <v>57</v>
      </c>
      <c r="T12" s="186" t="s">
        <v>4</v>
      </c>
      <c r="U12" s="190">
        <f t="shared" si="4"/>
        <v>1</v>
      </c>
      <c r="V12" s="158" t="s">
        <v>57</v>
      </c>
      <c r="W12" s="193" t="s">
        <v>57</v>
      </c>
      <c r="X12" s="195" t="s">
        <v>57</v>
      </c>
      <c r="Y12" s="197" t="s">
        <v>57</v>
      </c>
      <c r="Z12" s="198" t="s">
        <v>87</v>
      </c>
      <c r="AA12" s="200" t="s">
        <v>110</v>
      </c>
      <c r="AB12" s="161" t="s">
        <v>121</v>
      </c>
      <c r="AC12" s="159" t="s">
        <v>122</v>
      </c>
    </row>
    <row r="13" spans="1:29" ht="19.5" customHeight="1">
      <c r="A13" s="209" t="s">
        <v>123</v>
      </c>
      <c r="B13" s="350" t="s">
        <v>124</v>
      </c>
      <c r="C13" s="210" t="s">
        <v>92</v>
      </c>
      <c r="D13" s="208" t="s">
        <v>54</v>
      </c>
      <c r="E13" s="322" t="s">
        <v>103</v>
      </c>
      <c r="F13" s="322" t="s">
        <v>125</v>
      </c>
      <c r="G13" s="218">
        <f t="shared" si="0"/>
        <v>0.14583333333333331</v>
      </c>
      <c r="H13" s="172">
        <f t="shared" si="1"/>
        <v>0</v>
      </c>
      <c r="I13" s="164" t="s">
        <v>4</v>
      </c>
      <c r="J13" s="169" t="s">
        <v>4</v>
      </c>
      <c r="K13" s="171" t="s">
        <v>4</v>
      </c>
      <c r="L13" s="175">
        <f t="shared" si="2"/>
        <v>0.33333333333333331</v>
      </c>
      <c r="M13" s="177" t="s">
        <v>4</v>
      </c>
      <c r="N13" s="157" t="s">
        <v>57</v>
      </c>
      <c r="O13" s="188" t="s">
        <v>4</v>
      </c>
      <c r="P13" s="180">
        <f t="shared" si="3"/>
        <v>0</v>
      </c>
      <c r="Q13" s="181" t="s">
        <v>4</v>
      </c>
      <c r="R13" s="156" t="s">
        <v>4</v>
      </c>
      <c r="S13" s="184" t="s">
        <v>4</v>
      </c>
      <c r="T13" s="186" t="s">
        <v>4</v>
      </c>
      <c r="U13" s="190">
        <f t="shared" si="4"/>
        <v>0.25</v>
      </c>
      <c r="V13" s="158" t="s">
        <v>4</v>
      </c>
      <c r="W13" s="193" t="s">
        <v>4</v>
      </c>
      <c r="X13" s="195" t="s">
        <v>4</v>
      </c>
      <c r="Y13" s="197" t="s">
        <v>57</v>
      </c>
      <c r="Z13" s="198" t="s">
        <v>87</v>
      </c>
      <c r="AA13" s="199" t="s">
        <v>59</v>
      </c>
      <c r="AB13" s="161" t="s">
        <v>126</v>
      </c>
      <c r="AC13" s="159"/>
    </row>
    <row r="14" spans="1:29" ht="19.5" customHeight="1">
      <c r="A14" s="209" t="s">
        <v>127</v>
      </c>
      <c r="B14" s="350" t="s">
        <v>128</v>
      </c>
      <c r="C14" s="210" t="s">
        <v>129</v>
      </c>
      <c r="D14" s="208" t="s">
        <v>54</v>
      </c>
      <c r="E14" s="322" t="s">
        <v>103</v>
      </c>
      <c r="F14" s="322" t="s">
        <v>130</v>
      </c>
      <c r="G14" s="218">
        <f t="shared" si="0"/>
        <v>0.375</v>
      </c>
      <c r="H14" s="172">
        <f t="shared" si="1"/>
        <v>0.66666666666666663</v>
      </c>
      <c r="I14" s="164" t="s">
        <v>4</v>
      </c>
      <c r="J14" s="169" t="s">
        <v>57</v>
      </c>
      <c r="K14" s="171" t="s">
        <v>57</v>
      </c>
      <c r="L14" s="175">
        <f t="shared" si="2"/>
        <v>0.33333333333333331</v>
      </c>
      <c r="M14" s="177" t="s">
        <v>57</v>
      </c>
      <c r="N14" s="157" t="s">
        <v>4</v>
      </c>
      <c r="O14" s="188" t="s">
        <v>4</v>
      </c>
      <c r="P14" s="180">
        <f t="shared" si="3"/>
        <v>0</v>
      </c>
      <c r="Q14" s="181" t="s">
        <v>4</v>
      </c>
      <c r="R14" s="156" t="s">
        <v>4</v>
      </c>
      <c r="S14" s="184" t="s">
        <v>4</v>
      </c>
      <c r="T14" s="186" t="s">
        <v>4</v>
      </c>
      <c r="U14" s="190">
        <f t="shared" si="4"/>
        <v>0.5</v>
      </c>
      <c r="V14" s="158" t="s">
        <v>57</v>
      </c>
      <c r="W14" s="193" t="s">
        <v>4</v>
      </c>
      <c r="X14" s="195" t="s">
        <v>57</v>
      </c>
      <c r="Y14" s="197" t="s">
        <v>4</v>
      </c>
      <c r="Z14" s="198" t="s">
        <v>58</v>
      </c>
      <c r="AA14" s="199" t="s">
        <v>59</v>
      </c>
      <c r="AB14" s="161" t="s">
        <v>131</v>
      </c>
      <c r="AC14" s="159" t="s">
        <v>132</v>
      </c>
    </row>
    <row r="15" spans="1:29" ht="19.5" customHeight="1">
      <c r="A15" s="209" t="s">
        <v>133</v>
      </c>
      <c r="B15" s="350" t="s">
        <v>134</v>
      </c>
      <c r="C15" s="210" t="s">
        <v>92</v>
      </c>
      <c r="D15" s="208" t="s">
        <v>54</v>
      </c>
      <c r="E15" s="322" t="s">
        <v>103</v>
      </c>
      <c r="F15" s="322" t="s">
        <v>135</v>
      </c>
      <c r="G15" s="218">
        <f t="shared" si="0"/>
        <v>0.6875</v>
      </c>
      <c r="H15" s="172">
        <f t="shared" si="1"/>
        <v>0</v>
      </c>
      <c r="I15" s="164" t="s">
        <v>4</v>
      </c>
      <c r="J15" s="169" t="s">
        <v>4</v>
      </c>
      <c r="K15" s="171" t="s">
        <v>4</v>
      </c>
      <c r="L15" s="175">
        <f t="shared" si="2"/>
        <v>1</v>
      </c>
      <c r="M15" s="177" t="s">
        <v>57</v>
      </c>
      <c r="N15" s="157" t="s">
        <v>57</v>
      </c>
      <c r="O15" s="188" t="s">
        <v>57</v>
      </c>
      <c r="P15" s="180">
        <f t="shared" si="3"/>
        <v>0.75</v>
      </c>
      <c r="Q15" s="181" t="s">
        <v>57</v>
      </c>
      <c r="R15" s="156" t="s">
        <v>57</v>
      </c>
      <c r="S15" s="184" t="s">
        <v>57</v>
      </c>
      <c r="T15" s="186" t="s">
        <v>4</v>
      </c>
      <c r="U15" s="190">
        <f t="shared" si="4"/>
        <v>1</v>
      </c>
      <c r="V15" s="158" t="s">
        <v>57</v>
      </c>
      <c r="W15" s="193" t="s">
        <v>57</v>
      </c>
      <c r="X15" s="195" t="s">
        <v>57</v>
      </c>
      <c r="Y15" s="197" t="s">
        <v>57</v>
      </c>
      <c r="Z15" s="198" t="s">
        <v>87</v>
      </c>
      <c r="AA15" s="199" t="s">
        <v>59</v>
      </c>
      <c r="AB15" s="161" t="s">
        <v>136</v>
      </c>
      <c r="AC15" s="159" t="s">
        <v>137</v>
      </c>
    </row>
    <row r="16" spans="1:29" ht="19.5" customHeight="1">
      <c r="A16" s="207" t="s">
        <v>138</v>
      </c>
      <c r="B16" s="350" t="s">
        <v>139</v>
      </c>
      <c r="C16" s="208" t="s">
        <v>92</v>
      </c>
      <c r="D16" s="208" t="s">
        <v>54</v>
      </c>
      <c r="E16" s="322" t="s">
        <v>103</v>
      </c>
      <c r="F16" s="322" t="s">
        <v>140</v>
      </c>
      <c r="G16" s="218">
        <f t="shared" si="0"/>
        <v>0.52083333333333326</v>
      </c>
      <c r="H16" s="172">
        <f t="shared" si="1"/>
        <v>0</v>
      </c>
      <c r="I16" s="163" t="s">
        <v>4</v>
      </c>
      <c r="J16" s="169" t="s">
        <v>4</v>
      </c>
      <c r="K16" s="171" t="s">
        <v>4</v>
      </c>
      <c r="L16" s="175">
        <f t="shared" si="2"/>
        <v>0.66666666666666663</v>
      </c>
      <c r="M16" s="177" t="s">
        <v>4</v>
      </c>
      <c r="N16" s="157" t="s">
        <v>57</v>
      </c>
      <c r="O16" s="188" t="s">
        <v>57</v>
      </c>
      <c r="P16" s="180">
        <f t="shared" si="3"/>
        <v>0.66666666666666663</v>
      </c>
      <c r="Q16" s="181" t="s">
        <v>57</v>
      </c>
      <c r="R16" s="156"/>
      <c r="S16" s="184" t="s">
        <v>57</v>
      </c>
      <c r="T16" s="186" t="s">
        <v>4</v>
      </c>
      <c r="U16" s="190">
        <f t="shared" si="4"/>
        <v>0.75</v>
      </c>
      <c r="V16" s="158" t="s">
        <v>57</v>
      </c>
      <c r="W16" s="193" t="s">
        <v>4</v>
      </c>
      <c r="X16" s="195" t="s">
        <v>57</v>
      </c>
      <c r="Y16" s="197" t="s">
        <v>57</v>
      </c>
      <c r="Z16" s="198" t="s">
        <v>87</v>
      </c>
      <c r="AA16" s="200" t="s">
        <v>59</v>
      </c>
      <c r="AB16" s="161" t="s">
        <v>141</v>
      </c>
      <c r="AC16" s="159" t="s">
        <v>142</v>
      </c>
    </row>
    <row r="17" spans="1:29" ht="19.5" customHeight="1">
      <c r="A17" s="207" t="s">
        <v>143</v>
      </c>
      <c r="B17" s="350" t="s">
        <v>144</v>
      </c>
      <c r="C17" s="208" t="s">
        <v>92</v>
      </c>
      <c r="D17" s="208" t="s">
        <v>54</v>
      </c>
      <c r="E17" s="322" t="s">
        <v>103</v>
      </c>
      <c r="F17" s="322" t="s">
        <v>145</v>
      </c>
      <c r="G17" s="218">
        <f t="shared" si="0"/>
        <v>0.91666666666666663</v>
      </c>
      <c r="H17" s="172">
        <f t="shared" si="1"/>
        <v>0.66666666666666663</v>
      </c>
      <c r="I17" s="163" t="s">
        <v>4</v>
      </c>
      <c r="J17" s="169" t="s">
        <v>57</v>
      </c>
      <c r="K17" s="171" t="s">
        <v>57</v>
      </c>
      <c r="L17" s="175">
        <f t="shared" si="2"/>
        <v>1</v>
      </c>
      <c r="M17" s="177" t="s">
        <v>57</v>
      </c>
      <c r="N17" s="157" t="s">
        <v>57</v>
      </c>
      <c r="O17" s="188" t="s">
        <v>57</v>
      </c>
      <c r="P17" s="180">
        <f t="shared" si="3"/>
        <v>1</v>
      </c>
      <c r="Q17" s="181" t="s">
        <v>57</v>
      </c>
      <c r="R17" s="156" t="s">
        <v>57</v>
      </c>
      <c r="S17" s="184" t="s">
        <v>57</v>
      </c>
      <c r="T17" s="186" t="s">
        <v>57</v>
      </c>
      <c r="U17" s="190">
        <f t="shared" si="4"/>
        <v>1</v>
      </c>
      <c r="V17" s="158" t="s">
        <v>57</v>
      </c>
      <c r="W17" s="193" t="s">
        <v>57</v>
      </c>
      <c r="X17" s="195" t="s">
        <v>57</v>
      </c>
      <c r="Y17" s="197" t="s">
        <v>57</v>
      </c>
      <c r="Z17" s="198" t="s">
        <v>87</v>
      </c>
      <c r="AA17" s="200" t="s">
        <v>67</v>
      </c>
      <c r="AB17" s="161" t="s">
        <v>146</v>
      </c>
      <c r="AC17" s="159" t="s">
        <v>147</v>
      </c>
    </row>
    <row r="18" spans="1:29" ht="19.5" customHeight="1">
      <c r="A18" s="207" t="s">
        <v>148</v>
      </c>
      <c r="B18" s="350" t="s">
        <v>149</v>
      </c>
      <c r="C18" s="208" t="s">
        <v>92</v>
      </c>
      <c r="D18" s="208" t="s">
        <v>54</v>
      </c>
      <c r="E18" s="322" t="s">
        <v>103</v>
      </c>
      <c r="F18" s="322" t="s">
        <v>150</v>
      </c>
      <c r="G18" s="218">
        <f t="shared" si="0"/>
        <v>0.77083333333333326</v>
      </c>
      <c r="H18" s="172">
        <f t="shared" si="1"/>
        <v>0.33333333333333331</v>
      </c>
      <c r="I18" s="163" t="s">
        <v>57</v>
      </c>
      <c r="J18" s="169" t="s">
        <v>4</v>
      </c>
      <c r="K18" s="171" t="s">
        <v>4</v>
      </c>
      <c r="L18" s="175">
        <f t="shared" si="2"/>
        <v>1</v>
      </c>
      <c r="M18" s="177" t="s">
        <v>57</v>
      </c>
      <c r="N18" s="157" t="s">
        <v>57</v>
      </c>
      <c r="O18" s="188" t="s">
        <v>57</v>
      </c>
      <c r="P18" s="180">
        <f t="shared" si="3"/>
        <v>0.75</v>
      </c>
      <c r="Q18" s="181" t="s">
        <v>57</v>
      </c>
      <c r="R18" s="156" t="s">
        <v>57</v>
      </c>
      <c r="S18" s="184" t="s">
        <v>57</v>
      </c>
      <c r="T18" s="186" t="s">
        <v>4</v>
      </c>
      <c r="U18" s="190">
        <f t="shared" si="4"/>
        <v>1</v>
      </c>
      <c r="V18" s="158" t="s">
        <v>57</v>
      </c>
      <c r="W18" s="193" t="s">
        <v>57</v>
      </c>
      <c r="X18" s="195" t="s">
        <v>57</v>
      </c>
      <c r="Y18" s="197" t="s">
        <v>57</v>
      </c>
      <c r="Z18" s="198" t="s">
        <v>87</v>
      </c>
      <c r="AA18" s="200" t="s">
        <v>67</v>
      </c>
      <c r="AB18" s="161" t="s">
        <v>151</v>
      </c>
      <c r="AC18" s="159" t="s">
        <v>152</v>
      </c>
    </row>
    <row r="19" spans="1:29" ht="19.5" customHeight="1">
      <c r="A19" s="207" t="s">
        <v>153</v>
      </c>
      <c r="B19" s="350" t="s">
        <v>154</v>
      </c>
      <c r="C19" s="208" t="s">
        <v>155</v>
      </c>
      <c r="D19" s="208" t="s">
        <v>54</v>
      </c>
      <c r="E19" s="322" t="s">
        <v>156</v>
      </c>
      <c r="F19" s="322" t="s">
        <v>157</v>
      </c>
      <c r="G19" s="218">
        <f t="shared" si="0"/>
        <v>0.1875</v>
      </c>
      <c r="H19" s="172">
        <f t="shared" si="1"/>
        <v>0</v>
      </c>
      <c r="I19" s="163" t="s">
        <v>4</v>
      </c>
      <c r="J19" s="169" t="s">
        <v>4</v>
      </c>
      <c r="K19" s="171" t="s">
        <v>4</v>
      </c>
      <c r="L19" s="175">
        <f t="shared" si="2"/>
        <v>0</v>
      </c>
      <c r="M19" s="177" t="s">
        <v>4</v>
      </c>
      <c r="N19" s="157" t="s">
        <v>4</v>
      </c>
      <c r="O19" s="188" t="s">
        <v>4</v>
      </c>
      <c r="P19" s="180">
        <f t="shared" si="3"/>
        <v>0.25</v>
      </c>
      <c r="Q19" s="181" t="s">
        <v>4</v>
      </c>
      <c r="R19" s="156" t="s">
        <v>57</v>
      </c>
      <c r="S19" s="184" t="s">
        <v>4</v>
      </c>
      <c r="T19" s="186" t="s">
        <v>4</v>
      </c>
      <c r="U19" s="190">
        <f t="shared" si="4"/>
        <v>0.5</v>
      </c>
      <c r="V19" s="158" t="s">
        <v>57</v>
      </c>
      <c r="W19" s="193" t="s">
        <v>57</v>
      </c>
      <c r="X19" s="195" t="s">
        <v>4</v>
      </c>
      <c r="Y19" s="197" t="s">
        <v>4</v>
      </c>
      <c r="Z19" s="198" t="s">
        <v>87</v>
      </c>
      <c r="AA19" s="200" t="s">
        <v>67</v>
      </c>
      <c r="AB19" s="161" t="s">
        <v>158</v>
      </c>
      <c r="AC19" s="159" t="s">
        <v>159</v>
      </c>
    </row>
    <row r="20" spans="1:29" ht="19.5" customHeight="1">
      <c r="A20" s="212" t="s">
        <v>160</v>
      </c>
      <c r="B20" s="350" t="s">
        <v>161</v>
      </c>
      <c r="C20" s="210" t="s">
        <v>84</v>
      </c>
      <c r="D20" s="208" t="s">
        <v>54</v>
      </c>
      <c r="E20" s="322" t="s">
        <v>156</v>
      </c>
      <c r="F20" s="322" t="s">
        <v>162</v>
      </c>
      <c r="G20" s="218">
        <f t="shared" si="0"/>
        <v>0.125</v>
      </c>
      <c r="H20" s="172">
        <f t="shared" si="1"/>
        <v>0</v>
      </c>
      <c r="I20" s="167" t="s">
        <v>4</v>
      </c>
      <c r="J20" s="169" t="s">
        <v>4</v>
      </c>
      <c r="K20" s="171" t="s">
        <v>4</v>
      </c>
      <c r="L20" s="175">
        <f t="shared" si="2"/>
        <v>0</v>
      </c>
      <c r="M20" s="177" t="s">
        <v>4</v>
      </c>
      <c r="N20" s="157" t="s">
        <v>4</v>
      </c>
      <c r="O20" s="188" t="s">
        <v>4</v>
      </c>
      <c r="P20" s="180">
        <f t="shared" si="3"/>
        <v>0.25</v>
      </c>
      <c r="Q20" s="181" t="s">
        <v>4</v>
      </c>
      <c r="R20" s="156" t="s">
        <v>57</v>
      </c>
      <c r="S20" s="184" t="s">
        <v>4</v>
      </c>
      <c r="T20" s="186" t="s">
        <v>4</v>
      </c>
      <c r="U20" s="190">
        <f t="shared" si="4"/>
        <v>0.25</v>
      </c>
      <c r="V20" s="158" t="s">
        <v>4</v>
      </c>
      <c r="W20" s="193" t="s">
        <v>4</v>
      </c>
      <c r="X20" s="195" t="s">
        <v>57</v>
      </c>
      <c r="Y20" s="197" t="s">
        <v>4</v>
      </c>
      <c r="Z20" s="198" t="s">
        <v>87</v>
      </c>
      <c r="AA20" s="199" t="s">
        <v>110</v>
      </c>
      <c r="AB20" s="161" t="s">
        <v>163</v>
      </c>
      <c r="AC20" s="159" t="s">
        <v>164</v>
      </c>
    </row>
    <row r="21" spans="1:29" ht="19.5" customHeight="1">
      <c r="A21" s="160" t="s">
        <v>165</v>
      </c>
      <c r="B21" s="350" t="s">
        <v>166</v>
      </c>
      <c r="C21" s="210" t="s">
        <v>2</v>
      </c>
      <c r="D21" s="208" t="s">
        <v>54</v>
      </c>
      <c r="E21" s="322" t="s">
        <v>156</v>
      </c>
      <c r="F21" s="322" t="s">
        <v>167</v>
      </c>
      <c r="G21" s="218">
        <f t="shared" si="0"/>
        <v>0.20833333333333331</v>
      </c>
      <c r="H21" s="172">
        <f t="shared" si="1"/>
        <v>0</v>
      </c>
      <c r="I21" s="166" t="s">
        <v>4</v>
      </c>
      <c r="J21" s="169" t="s">
        <v>4</v>
      </c>
      <c r="K21" s="171" t="s">
        <v>4</v>
      </c>
      <c r="L21" s="175">
        <f t="shared" si="2"/>
        <v>0.33333333333333331</v>
      </c>
      <c r="M21" s="177" t="s">
        <v>4</v>
      </c>
      <c r="N21" s="157" t="s">
        <v>57</v>
      </c>
      <c r="O21" s="188" t="s">
        <v>4</v>
      </c>
      <c r="P21" s="180">
        <f t="shared" si="3"/>
        <v>0.25</v>
      </c>
      <c r="Q21" s="181" t="s">
        <v>4</v>
      </c>
      <c r="R21" s="156" t="s">
        <v>57</v>
      </c>
      <c r="S21" s="184" t="s">
        <v>4</v>
      </c>
      <c r="T21" s="186" t="s">
        <v>4</v>
      </c>
      <c r="U21" s="190">
        <f t="shared" si="4"/>
        <v>0.25</v>
      </c>
      <c r="V21" s="158" t="s">
        <v>4</v>
      </c>
      <c r="W21" s="193" t="s">
        <v>4</v>
      </c>
      <c r="X21" s="195" t="s">
        <v>57</v>
      </c>
      <c r="Y21" s="197" t="s">
        <v>4</v>
      </c>
      <c r="Z21" s="198" t="s">
        <v>58</v>
      </c>
      <c r="AA21" s="201" t="s">
        <v>59</v>
      </c>
      <c r="AB21" s="161" t="s">
        <v>168</v>
      </c>
      <c r="AC21" s="159" t="s">
        <v>159</v>
      </c>
    </row>
    <row r="22" spans="1:29" ht="19.5" customHeight="1">
      <c r="A22" s="207" t="s">
        <v>169</v>
      </c>
      <c r="B22" s="350" t="s">
        <v>170</v>
      </c>
      <c r="C22" s="208" t="s">
        <v>64</v>
      </c>
      <c r="D22" s="208" t="s">
        <v>171</v>
      </c>
      <c r="E22" s="322" t="s">
        <v>156</v>
      </c>
      <c r="F22" s="322" t="s">
        <v>172</v>
      </c>
      <c r="G22" s="218">
        <f t="shared" si="0"/>
        <v>6.25E-2</v>
      </c>
      <c r="H22" s="172">
        <f t="shared" si="1"/>
        <v>0</v>
      </c>
      <c r="I22" s="163" t="s">
        <v>4</v>
      </c>
      <c r="J22" s="169" t="s">
        <v>4</v>
      </c>
      <c r="K22" s="171" t="s">
        <v>4</v>
      </c>
      <c r="L22" s="175">
        <f t="shared" si="2"/>
        <v>0</v>
      </c>
      <c r="M22" s="177" t="s">
        <v>4</v>
      </c>
      <c r="N22" s="157" t="s">
        <v>4</v>
      </c>
      <c r="O22" s="188" t="s">
        <v>4</v>
      </c>
      <c r="P22" s="180">
        <f t="shared" si="3"/>
        <v>0</v>
      </c>
      <c r="Q22" s="181" t="s">
        <v>4</v>
      </c>
      <c r="R22" s="156" t="s">
        <v>4</v>
      </c>
      <c r="S22" s="184" t="s">
        <v>4</v>
      </c>
      <c r="T22" s="186" t="s">
        <v>4</v>
      </c>
      <c r="U22" s="190">
        <f t="shared" si="4"/>
        <v>0.25</v>
      </c>
      <c r="V22" s="158" t="s">
        <v>4</v>
      </c>
      <c r="W22" s="193" t="s">
        <v>4</v>
      </c>
      <c r="X22" s="195" t="s">
        <v>57</v>
      </c>
      <c r="Y22" s="197" t="s">
        <v>4</v>
      </c>
      <c r="Z22" s="198" t="s">
        <v>87</v>
      </c>
      <c r="AA22" s="199" t="s">
        <v>110</v>
      </c>
      <c r="AB22" s="161" t="s">
        <v>173</v>
      </c>
      <c r="AC22" s="159" t="s">
        <v>174</v>
      </c>
    </row>
    <row r="23" spans="1:29" ht="19.5" customHeight="1">
      <c r="A23" s="209" t="s">
        <v>175</v>
      </c>
      <c r="B23" s="350" t="s">
        <v>176</v>
      </c>
      <c r="C23" s="210" t="s">
        <v>2</v>
      </c>
      <c r="D23" s="208" t="s">
        <v>54</v>
      </c>
      <c r="E23" s="322" t="s">
        <v>156</v>
      </c>
      <c r="F23" s="322" t="s">
        <v>177</v>
      </c>
      <c r="G23" s="218">
        <f t="shared" si="0"/>
        <v>1</v>
      </c>
      <c r="H23" s="172">
        <f t="shared" si="1"/>
        <v>1</v>
      </c>
      <c r="I23" s="164" t="s">
        <v>57</v>
      </c>
      <c r="J23" s="169" t="s">
        <v>57</v>
      </c>
      <c r="K23" s="171" t="s">
        <v>57</v>
      </c>
      <c r="L23" s="175">
        <f t="shared" si="2"/>
        <v>1</v>
      </c>
      <c r="M23" s="177" t="s">
        <v>57</v>
      </c>
      <c r="N23" s="157" t="s">
        <v>57</v>
      </c>
      <c r="O23" s="188" t="s">
        <v>57</v>
      </c>
      <c r="P23" s="180">
        <f t="shared" si="3"/>
        <v>1</v>
      </c>
      <c r="Q23" s="181" t="s">
        <v>57</v>
      </c>
      <c r="R23" s="156" t="s">
        <v>57</v>
      </c>
      <c r="S23" s="184" t="s">
        <v>57</v>
      </c>
      <c r="T23" s="186" t="s">
        <v>57</v>
      </c>
      <c r="U23" s="190">
        <f t="shared" si="4"/>
        <v>1</v>
      </c>
      <c r="V23" s="158" t="s">
        <v>57</v>
      </c>
      <c r="W23" s="193" t="s">
        <v>57</v>
      </c>
      <c r="X23" s="195" t="s">
        <v>57</v>
      </c>
      <c r="Y23" s="197" t="s">
        <v>57</v>
      </c>
      <c r="Z23" s="198" t="s">
        <v>178</v>
      </c>
      <c r="AA23" s="199" t="s">
        <v>110</v>
      </c>
      <c r="AB23" s="161" t="s">
        <v>179</v>
      </c>
      <c r="AC23" s="159" t="s">
        <v>180</v>
      </c>
    </row>
    <row r="24" spans="1:29" ht="19.5" customHeight="1">
      <c r="A24" s="209" t="s">
        <v>181</v>
      </c>
      <c r="B24" s="350" t="s">
        <v>182</v>
      </c>
      <c r="C24" s="210" t="s">
        <v>53</v>
      </c>
      <c r="D24" s="208" t="s">
        <v>54</v>
      </c>
      <c r="E24" s="322" t="s">
        <v>183</v>
      </c>
      <c r="F24" s="322" t="s">
        <v>184</v>
      </c>
      <c r="G24" s="218">
        <f t="shared" si="0"/>
        <v>0.33333333333333331</v>
      </c>
      <c r="H24" s="172">
        <f t="shared" si="1"/>
        <v>0.66666666666666663</v>
      </c>
      <c r="I24" s="164" t="s">
        <v>4</v>
      </c>
      <c r="J24" s="169" t="s">
        <v>57</v>
      </c>
      <c r="K24" s="171" t="s">
        <v>57</v>
      </c>
      <c r="L24" s="175">
        <f t="shared" si="2"/>
        <v>0.66666666666666663</v>
      </c>
      <c r="M24" s="177" t="s">
        <v>57</v>
      </c>
      <c r="N24" s="157" t="s">
        <v>57</v>
      </c>
      <c r="O24" s="188" t="s">
        <v>4</v>
      </c>
      <c r="P24" s="180">
        <f t="shared" si="3"/>
        <v>0</v>
      </c>
      <c r="Q24" s="181" t="s">
        <v>4</v>
      </c>
      <c r="R24" s="156" t="s">
        <v>4</v>
      </c>
      <c r="S24" s="184" t="s">
        <v>4</v>
      </c>
      <c r="T24" s="186" t="s">
        <v>4</v>
      </c>
      <c r="U24" s="190">
        <f t="shared" si="4"/>
        <v>0</v>
      </c>
      <c r="V24" s="158" t="s">
        <v>4</v>
      </c>
      <c r="W24" s="193" t="s">
        <v>4</v>
      </c>
      <c r="X24" s="195" t="s">
        <v>4</v>
      </c>
      <c r="Y24" s="197" t="s">
        <v>4</v>
      </c>
      <c r="Z24" s="198" t="s">
        <v>66</v>
      </c>
      <c r="AA24" s="199" t="s">
        <v>110</v>
      </c>
      <c r="AB24" s="161" t="s">
        <v>185</v>
      </c>
      <c r="AC24" s="159" t="s">
        <v>186</v>
      </c>
    </row>
    <row r="25" spans="1:29" ht="19.5" customHeight="1">
      <c r="A25" s="209" t="s">
        <v>187</v>
      </c>
      <c r="B25" s="350" t="s">
        <v>188</v>
      </c>
      <c r="C25" s="210" t="s">
        <v>53</v>
      </c>
      <c r="D25" s="208" t="s">
        <v>54</v>
      </c>
      <c r="E25" s="322" t="s">
        <v>183</v>
      </c>
      <c r="F25" s="322" t="s">
        <v>189</v>
      </c>
      <c r="G25" s="218">
        <f t="shared" si="0"/>
        <v>0.25</v>
      </c>
      <c r="H25" s="172">
        <f t="shared" si="1"/>
        <v>0.66666666666666663</v>
      </c>
      <c r="I25" s="164" t="s">
        <v>57</v>
      </c>
      <c r="J25" s="169" t="s">
        <v>4</v>
      </c>
      <c r="K25" s="171" t="s">
        <v>57</v>
      </c>
      <c r="L25" s="175">
        <f t="shared" si="2"/>
        <v>0.33333333333333331</v>
      </c>
      <c r="M25" s="177" t="s">
        <v>57</v>
      </c>
      <c r="N25" s="157" t="s">
        <v>4</v>
      </c>
      <c r="O25" s="188" t="s">
        <v>4</v>
      </c>
      <c r="P25" s="180">
        <f t="shared" si="3"/>
        <v>0</v>
      </c>
      <c r="Q25" s="181" t="s">
        <v>4</v>
      </c>
      <c r="R25" s="156" t="s">
        <v>4</v>
      </c>
      <c r="S25" s="184" t="s">
        <v>4</v>
      </c>
      <c r="T25" s="186" t="s">
        <v>4</v>
      </c>
      <c r="U25" s="190">
        <f t="shared" si="4"/>
        <v>0</v>
      </c>
      <c r="V25" s="158" t="s">
        <v>4</v>
      </c>
      <c r="W25" s="193" t="s">
        <v>4</v>
      </c>
      <c r="X25" s="195" t="s">
        <v>4</v>
      </c>
      <c r="Y25" s="197" t="s">
        <v>4</v>
      </c>
      <c r="Z25" s="198" t="s">
        <v>58</v>
      </c>
      <c r="AA25" s="199" t="s">
        <v>110</v>
      </c>
      <c r="AB25" s="161" t="s">
        <v>190</v>
      </c>
      <c r="AC25" s="159" t="s">
        <v>191</v>
      </c>
    </row>
    <row r="26" spans="1:29" ht="19.5" customHeight="1">
      <c r="A26" s="209" t="s">
        <v>192</v>
      </c>
      <c r="B26" s="350" t="s">
        <v>193</v>
      </c>
      <c r="C26" s="208" t="s">
        <v>64</v>
      </c>
      <c r="D26" s="208" t="s">
        <v>72</v>
      </c>
      <c r="E26" s="322" t="s">
        <v>183</v>
      </c>
      <c r="F26" s="322" t="s">
        <v>194</v>
      </c>
      <c r="G26" s="218">
        <f t="shared" si="0"/>
        <v>0</v>
      </c>
      <c r="H26" s="172">
        <f t="shared" si="1"/>
        <v>0</v>
      </c>
      <c r="I26" s="164" t="s">
        <v>4</v>
      </c>
      <c r="J26" s="169" t="s">
        <v>4</v>
      </c>
      <c r="K26" s="171" t="s">
        <v>4</v>
      </c>
      <c r="L26" s="175">
        <f t="shared" si="2"/>
        <v>0</v>
      </c>
      <c r="M26" s="177" t="s">
        <v>4</v>
      </c>
      <c r="N26" s="157" t="s">
        <v>4</v>
      </c>
      <c r="O26" s="188" t="s">
        <v>4</v>
      </c>
      <c r="P26" s="180">
        <f t="shared" si="3"/>
        <v>0</v>
      </c>
      <c r="Q26" s="181" t="s">
        <v>4</v>
      </c>
      <c r="R26" s="156" t="s">
        <v>4</v>
      </c>
      <c r="S26" s="184" t="s">
        <v>4</v>
      </c>
      <c r="T26" s="186" t="s">
        <v>4</v>
      </c>
      <c r="U26" s="190">
        <f t="shared" si="4"/>
        <v>0</v>
      </c>
      <c r="V26" s="158" t="s">
        <v>4</v>
      </c>
      <c r="W26" s="193" t="s">
        <v>4</v>
      </c>
      <c r="X26" s="195" t="s">
        <v>4</v>
      </c>
      <c r="Y26" s="197" t="s">
        <v>4</v>
      </c>
      <c r="Z26" s="198" t="s">
        <v>58</v>
      </c>
      <c r="AA26" s="199" t="s">
        <v>59</v>
      </c>
      <c r="AB26" s="161" t="s">
        <v>195</v>
      </c>
      <c r="AC26" s="159" t="s">
        <v>196</v>
      </c>
    </row>
    <row r="27" spans="1:29" ht="19.5" customHeight="1">
      <c r="A27" s="212" t="s">
        <v>197</v>
      </c>
      <c r="B27" s="350" t="s">
        <v>198</v>
      </c>
      <c r="C27" s="210" t="s">
        <v>53</v>
      </c>
      <c r="D27" s="208" t="s">
        <v>54</v>
      </c>
      <c r="E27" s="322" t="s">
        <v>183</v>
      </c>
      <c r="F27" s="322" t="s">
        <v>199</v>
      </c>
      <c r="G27" s="218">
        <f t="shared" si="0"/>
        <v>0.16666666666666666</v>
      </c>
      <c r="H27" s="172">
        <f t="shared" si="1"/>
        <v>0.33333333333333331</v>
      </c>
      <c r="I27" s="167" t="s">
        <v>4</v>
      </c>
      <c r="J27" s="169" t="s">
        <v>4</v>
      </c>
      <c r="K27" s="171" t="s">
        <v>57</v>
      </c>
      <c r="L27" s="175">
        <f t="shared" si="2"/>
        <v>0.33333333333333331</v>
      </c>
      <c r="M27" s="177" t="s">
        <v>57</v>
      </c>
      <c r="N27" s="157" t="s">
        <v>4</v>
      </c>
      <c r="O27" s="188" t="s">
        <v>4</v>
      </c>
      <c r="P27" s="180">
        <f t="shared" si="3"/>
        <v>0</v>
      </c>
      <c r="Q27" s="181" t="s">
        <v>4</v>
      </c>
      <c r="R27" s="156" t="s">
        <v>4</v>
      </c>
      <c r="S27" s="184" t="s">
        <v>4</v>
      </c>
      <c r="T27" s="186" t="s">
        <v>4</v>
      </c>
      <c r="U27" s="190">
        <f t="shared" si="4"/>
        <v>0</v>
      </c>
      <c r="V27" s="158" t="s">
        <v>4</v>
      </c>
      <c r="W27" s="193" t="s">
        <v>4</v>
      </c>
      <c r="X27" s="195" t="s">
        <v>4</v>
      </c>
      <c r="Y27" s="197" t="s">
        <v>4</v>
      </c>
      <c r="Z27" s="198" t="s">
        <v>58</v>
      </c>
      <c r="AA27" s="199" t="s">
        <v>110</v>
      </c>
      <c r="AB27" s="161" t="s">
        <v>200</v>
      </c>
      <c r="AC27" s="159" t="s">
        <v>201</v>
      </c>
    </row>
    <row r="28" spans="1:29" ht="19.5" customHeight="1">
      <c r="A28" s="209" t="s">
        <v>202</v>
      </c>
      <c r="B28" s="350" t="s">
        <v>203</v>
      </c>
      <c r="C28" s="210" t="s">
        <v>2</v>
      </c>
      <c r="D28" s="208" t="s">
        <v>54</v>
      </c>
      <c r="E28" s="322" t="s">
        <v>183</v>
      </c>
      <c r="F28" s="322" t="s">
        <v>204</v>
      </c>
      <c r="G28" s="218">
        <f t="shared" si="0"/>
        <v>1</v>
      </c>
      <c r="H28" s="172">
        <f t="shared" si="1"/>
        <v>1</v>
      </c>
      <c r="I28" s="164" t="s">
        <v>57</v>
      </c>
      <c r="J28" s="169" t="s">
        <v>57</v>
      </c>
      <c r="K28" s="171" t="s">
        <v>57</v>
      </c>
      <c r="L28" s="175">
        <f t="shared" si="2"/>
        <v>1</v>
      </c>
      <c r="M28" s="177" t="s">
        <v>57</v>
      </c>
      <c r="N28" s="157" t="s">
        <v>57</v>
      </c>
      <c r="O28" s="188" t="s">
        <v>57</v>
      </c>
      <c r="P28" s="180">
        <f t="shared" si="3"/>
        <v>1</v>
      </c>
      <c r="Q28" s="181" t="s">
        <v>57</v>
      </c>
      <c r="R28" s="156" t="s">
        <v>57</v>
      </c>
      <c r="S28" s="184" t="s">
        <v>57</v>
      </c>
      <c r="T28" s="186" t="s">
        <v>57</v>
      </c>
      <c r="U28" s="190">
        <f t="shared" si="4"/>
        <v>1</v>
      </c>
      <c r="V28" s="158" t="s">
        <v>57</v>
      </c>
      <c r="W28" s="193" t="s">
        <v>57</v>
      </c>
      <c r="X28" s="195" t="s">
        <v>57</v>
      </c>
      <c r="Y28" s="197" t="s">
        <v>57</v>
      </c>
      <c r="Z28" s="198" t="s">
        <v>87</v>
      </c>
      <c r="AA28" s="199" t="s">
        <v>110</v>
      </c>
      <c r="AB28" s="161" t="s">
        <v>205</v>
      </c>
      <c r="AC28" s="159" t="s">
        <v>206</v>
      </c>
    </row>
    <row r="29" spans="1:29" ht="19.5" customHeight="1">
      <c r="A29" s="207" t="s">
        <v>207</v>
      </c>
      <c r="B29" s="350" t="s">
        <v>208</v>
      </c>
      <c r="C29" s="208" t="s">
        <v>92</v>
      </c>
      <c r="D29" s="208" t="s">
        <v>72</v>
      </c>
      <c r="E29" s="322" t="s">
        <v>183</v>
      </c>
      <c r="F29" s="322" t="s">
        <v>209</v>
      </c>
      <c r="G29" s="218">
        <f t="shared" si="0"/>
        <v>0.41666666666666663</v>
      </c>
      <c r="H29" s="172">
        <f t="shared" si="1"/>
        <v>0.66666666666666663</v>
      </c>
      <c r="I29" s="163" t="s">
        <v>57</v>
      </c>
      <c r="J29" s="169" t="s">
        <v>4</v>
      </c>
      <c r="K29" s="171" t="s">
        <v>57</v>
      </c>
      <c r="L29" s="175">
        <f t="shared" si="2"/>
        <v>1</v>
      </c>
      <c r="M29" s="177" t="s">
        <v>57</v>
      </c>
      <c r="N29" s="157" t="s">
        <v>57</v>
      </c>
      <c r="O29" s="188" t="s">
        <v>57</v>
      </c>
      <c r="P29" s="180">
        <f t="shared" si="3"/>
        <v>0</v>
      </c>
      <c r="Q29" s="181" t="s">
        <v>4</v>
      </c>
      <c r="R29" s="156" t="s">
        <v>4</v>
      </c>
      <c r="S29" s="184" t="s">
        <v>4</v>
      </c>
      <c r="T29" s="186" t="s">
        <v>4</v>
      </c>
      <c r="U29" s="190">
        <f t="shared" si="4"/>
        <v>0</v>
      </c>
      <c r="V29" s="158" t="s">
        <v>4</v>
      </c>
      <c r="W29" s="193" t="s">
        <v>4</v>
      </c>
      <c r="X29" s="195" t="s">
        <v>4</v>
      </c>
      <c r="Y29" s="197" t="s">
        <v>4</v>
      </c>
      <c r="Z29" s="198" t="s">
        <v>58</v>
      </c>
      <c r="AA29" s="199" t="s">
        <v>110</v>
      </c>
      <c r="AB29" s="161" t="s">
        <v>210</v>
      </c>
      <c r="AC29" s="159" t="s">
        <v>211</v>
      </c>
    </row>
    <row r="30" spans="1:29" ht="19.5" customHeight="1">
      <c r="A30" s="209" t="s">
        <v>212</v>
      </c>
      <c r="B30" s="350" t="s">
        <v>213</v>
      </c>
      <c r="C30" s="208" t="s">
        <v>64</v>
      </c>
      <c r="D30" s="208" t="s">
        <v>54</v>
      </c>
      <c r="E30" s="322" t="s">
        <v>183</v>
      </c>
      <c r="F30" s="322" t="s">
        <v>214</v>
      </c>
      <c r="G30" s="218">
        <f t="shared" si="0"/>
        <v>0.39583333333333331</v>
      </c>
      <c r="H30" s="172">
        <f t="shared" si="1"/>
        <v>0.66666666666666663</v>
      </c>
      <c r="I30" s="164" t="s">
        <v>4</v>
      </c>
      <c r="J30" s="169" t="s">
        <v>57</v>
      </c>
      <c r="K30" s="171" t="s">
        <v>57</v>
      </c>
      <c r="L30" s="175">
        <f t="shared" si="2"/>
        <v>0.66666666666666663</v>
      </c>
      <c r="M30" s="177" t="s">
        <v>57</v>
      </c>
      <c r="N30" s="157" t="s">
        <v>4</v>
      </c>
      <c r="O30" s="188" t="s">
        <v>57</v>
      </c>
      <c r="P30" s="180">
        <f t="shared" si="3"/>
        <v>0</v>
      </c>
      <c r="Q30" s="181" t="s">
        <v>4</v>
      </c>
      <c r="R30" s="156" t="s">
        <v>4</v>
      </c>
      <c r="S30" s="184" t="s">
        <v>4</v>
      </c>
      <c r="T30" s="186" t="s">
        <v>4</v>
      </c>
      <c r="U30" s="190">
        <f t="shared" si="4"/>
        <v>0.25</v>
      </c>
      <c r="V30" s="158" t="s">
        <v>57</v>
      </c>
      <c r="W30" s="193" t="s">
        <v>4</v>
      </c>
      <c r="X30" s="195" t="s">
        <v>4</v>
      </c>
      <c r="Y30" s="197" t="s">
        <v>4</v>
      </c>
      <c r="Z30" s="198" t="s">
        <v>58</v>
      </c>
      <c r="AA30" s="199" t="s">
        <v>59</v>
      </c>
      <c r="AB30" s="161" t="s">
        <v>215</v>
      </c>
      <c r="AC30" s="159" t="s">
        <v>216</v>
      </c>
    </row>
    <row r="31" spans="1:29" ht="19.5" customHeight="1">
      <c r="A31" s="207" t="s">
        <v>217</v>
      </c>
      <c r="B31" s="350" t="s">
        <v>218</v>
      </c>
      <c r="C31" s="208" t="s">
        <v>53</v>
      </c>
      <c r="D31" s="208" t="s">
        <v>54</v>
      </c>
      <c r="E31" s="322" t="s">
        <v>219</v>
      </c>
      <c r="F31" s="322" t="s">
        <v>220</v>
      </c>
      <c r="G31" s="218">
        <f t="shared" ref="G31:G62" si="5">AVERAGE(H31,L31,P31,U31)</f>
        <v>0</v>
      </c>
      <c r="H31" s="172">
        <f t="shared" ref="H31:H62" si="6">COUNTIF(I31:K31,"Y") / COUNTA(I31:K31)</f>
        <v>0</v>
      </c>
      <c r="I31" s="163" t="s">
        <v>4</v>
      </c>
      <c r="J31" s="169" t="s">
        <v>4</v>
      </c>
      <c r="K31" s="171" t="s">
        <v>4</v>
      </c>
      <c r="L31" s="175">
        <f t="shared" ref="L31:L62" si="7">COUNTIF(M31:O31,"Y") / COUNTA(M31:O31)</f>
        <v>0</v>
      </c>
      <c r="M31" s="177" t="s">
        <v>4</v>
      </c>
      <c r="N31" s="157" t="s">
        <v>4</v>
      </c>
      <c r="O31" s="188" t="s">
        <v>4</v>
      </c>
      <c r="P31" s="180">
        <f t="shared" ref="P31:P62" si="8">COUNTIF(Q31:T31,"Y") / COUNTA(Q31:T31)</f>
        <v>0</v>
      </c>
      <c r="Q31" s="181" t="s">
        <v>4</v>
      </c>
      <c r="R31" s="156" t="s">
        <v>4</v>
      </c>
      <c r="S31" s="184" t="s">
        <v>4</v>
      </c>
      <c r="T31" s="186" t="s">
        <v>4</v>
      </c>
      <c r="U31" s="190">
        <f t="shared" ref="U31:U62" si="9">COUNTIF(V31:Y31,"Y") / COUNTA(V31:Y31)</f>
        <v>0</v>
      </c>
      <c r="V31" s="158" t="s">
        <v>4</v>
      </c>
      <c r="W31" s="193" t="s">
        <v>4</v>
      </c>
      <c r="X31" s="195" t="s">
        <v>4</v>
      </c>
      <c r="Y31" s="197" t="s">
        <v>4</v>
      </c>
      <c r="Z31" s="198" t="s">
        <v>178</v>
      </c>
      <c r="AA31" s="200" t="s">
        <v>59</v>
      </c>
      <c r="AB31" s="161" t="s">
        <v>221</v>
      </c>
      <c r="AC31" s="159" t="s">
        <v>222</v>
      </c>
    </row>
    <row r="32" spans="1:29" ht="19.5" customHeight="1">
      <c r="A32" s="207" t="s">
        <v>223</v>
      </c>
      <c r="B32" s="351" t="s">
        <v>224</v>
      </c>
      <c r="C32" s="208" t="s">
        <v>64</v>
      </c>
      <c r="D32" s="208" t="s">
        <v>72</v>
      </c>
      <c r="E32" s="322" t="s">
        <v>219</v>
      </c>
      <c r="F32" s="322" t="s">
        <v>225</v>
      </c>
      <c r="G32" s="218">
        <f t="shared" si="5"/>
        <v>8.3333333333333329E-2</v>
      </c>
      <c r="H32" s="172">
        <f t="shared" si="6"/>
        <v>0</v>
      </c>
      <c r="I32" s="163" t="s">
        <v>4</v>
      </c>
      <c r="J32" s="169" t="s">
        <v>4</v>
      </c>
      <c r="K32" s="171" t="s">
        <v>4</v>
      </c>
      <c r="L32" s="175">
        <f t="shared" si="7"/>
        <v>0.33333333333333331</v>
      </c>
      <c r="M32" s="177" t="s">
        <v>4</v>
      </c>
      <c r="N32" s="157" t="s">
        <v>57</v>
      </c>
      <c r="O32" s="188" t="s">
        <v>4</v>
      </c>
      <c r="P32" s="180">
        <f t="shared" si="8"/>
        <v>0</v>
      </c>
      <c r="Q32" s="181" t="s">
        <v>4</v>
      </c>
      <c r="R32" s="156" t="s">
        <v>4</v>
      </c>
      <c r="S32" s="184" t="s">
        <v>4</v>
      </c>
      <c r="T32" s="186" t="s">
        <v>4</v>
      </c>
      <c r="U32" s="190">
        <f t="shared" si="9"/>
        <v>0</v>
      </c>
      <c r="V32" s="158" t="s">
        <v>4</v>
      </c>
      <c r="W32" s="193" t="s">
        <v>4</v>
      </c>
      <c r="X32" s="195" t="s">
        <v>4</v>
      </c>
      <c r="Y32" s="197" t="s">
        <v>4</v>
      </c>
      <c r="Z32" s="198" t="s">
        <v>58</v>
      </c>
      <c r="AA32" s="200" t="s">
        <v>59</v>
      </c>
      <c r="AB32" s="161" t="s">
        <v>226</v>
      </c>
      <c r="AC32" s="159" t="s">
        <v>227</v>
      </c>
    </row>
    <row r="33" spans="1:29" ht="19.5" customHeight="1">
      <c r="A33" s="207" t="s">
        <v>228</v>
      </c>
      <c r="B33" s="350" t="s">
        <v>229</v>
      </c>
      <c r="C33" s="208" t="s">
        <v>64</v>
      </c>
      <c r="D33" s="208" t="s">
        <v>54</v>
      </c>
      <c r="E33" s="322" t="s">
        <v>219</v>
      </c>
      <c r="F33" s="322" t="s">
        <v>230</v>
      </c>
      <c r="G33" s="218">
        <f t="shared" si="5"/>
        <v>0.14583333333333331</v>
      </c>
      <c r="H33" s="172">
        <f t="shared" si="6"/>
        <v>0.33333333333333331</v>
      </c>
      <c r="I33" s="163" t="s">
        <v>57</v>
      </c>
      <c r="J33" s="169" t="s">
        <v>4</v>
      </c>
      <c r="K33" s="171" t="s">
        <v>4</v>
      </c>
      <c r="L33" s="175">
        <f t="shared" si="7"/>
        <v>0</v>
      </c>
      <c r="M33" s="177" t="s">
        <v>4</v>
      </c>
      <c r="N33" s="157" t="s">
        <v>4</v>
      </c>
      <c r="O33" s="188" t="s">
        <v>4</v>
      </c>
      <c r="P33" s="180">
        <f t="shared" si="8"/>
        <v>0</v>
      </c>
      <c r="Q33" s="181" t="s">
        <v>4</v>
      </c>
      <c r="R33" s="156" t="s">
        <v>4</v>
      </c>
      <c r="S33" s="184" t="s">
        <v>4</v>
      </c>
      <c r="T33" s="186" t="s">
        <v>4</v>
      </c>
      <c r="U33" s="190">
        <f t="shared" si="9"/>
        <v>0.25</v>
      </c>
      <c r="V33" s="158" t="s">
        <v>4</v>
      </c>
      <c r="W33" s="193" t="s">
        <v>4</v>
      </c>
      <c r="X33" s="195" t="s">
        <v>57</v>
      </c>
      <c r="Y33" s="197" t="s">
        <v>4</v>
      </c>
      <c r="Z33" s="198" t="s">
        <v>87</v>
      </c>
      <c r="AA33" s="200" t="s">
        <v>59</v>
      </c>
      <c r="AB33" s="161" t="s">
        <v>231</v>
      </c>
      <c r="AC33" s="159" t="s">
        <v>232</v>
      </c>
    </row>
    <row r="34" spans="1:29" ht="19.5" customHeight="1">
      <c r="A34" s="207" t="s">
        <v>233</v>
      </c>
      <c r="B34" s="350" t="s">
        <v>234</v>
      </c>
      <c r="C34" s="208" t="s">
        <v>64</v>
      </c>
      <c r="D34" s="208" t="s">
        <v>54</v>
      </c>
      <c r="E34" s="322" t="s">
        <v>235</v>
      </c>
      <c r="F34" s="322" t="s">
        <v>236</v>
      </c>
      <c r="G34" s="218">
        <f t="shared" si="5"/>
        <v>0.14583333333333331</v>
      </c>
      <c r="H34" s="172">
        <f t="shared" si="6"/>
        <v>0.33333333333333331</v>
      </c>
      <c r="I34" s="163" t="s">
        <v>4</v>
      </c>
      <c r="J34" s="169" t="s">
        <v>57</v>
      </c>
      <c r="K34" s="171" t="s">
        <v>4</v>
      </c>
      <c r="L34" s="175">
        <f t="shared" si="7"/>
        <v>0</v>
      </c>
      <c r="M34" s="177" t="s">
        <v>4</v>
      </c>
      <c r="N34" s="157" t="s">
        <v>4</v>
      </c>
      <c r="O34" s="188" t="s">
        <v>4</v>
      </c>
      <c r="P34" s="180">
        <f t="shared" si="8"/>
        <v>0.25</v>
      </c>
      <c r="Q34" s="181" t="s">
        <v>4</v>
      </c>
      <c r="R34" s="156" t="s">
        <v>4</v>
      </c>
      <c r="S34" s="184" t="s">
        <v>4</v>
      </c>
      <c r="T34" s="186" t="s">
        <v>57</v>
      </c>
      <c r="U34" s="190">
        <f t="shared" si="9"/>
        <v>0</v>
      </c>
      <c r="V34" s="158" t="s">
        <v>4</v>
      </c>
      <c r="W34" s="193" t="s">
        <v>4</v>
      </c>
      <c r="X34" s="195" t="s">
        <v>4</v>
      </c>
      <c r="Y34" s="197" t="s">
        <v>4</v>
      </c>
      <c r="Z34" s="198" t="s">
        <v>58</v>
      </c>
      <c r="AA34" s="200" t="s">
        <v>59</v>
      </c>
      <c r="AB34" s="161" t="s">
        <v>237</v>
      </c>
      <c r="AC34" s="159" t="s">
        <v>238</v>
      </c>
    </row>
    <row r="35" spans="1:29" ht="19.5" customHeight="1">
      <c r="A35" s="209" t="s">
        <v>239</v>
      </c>
      <c r="B35" s="350" t="s">
        <v>240</v>
      </c>
      <c r="C35" s="208" t="s">
        <v>64</v>
      </c>
      <c r="D35" s="208" t="s">
        <v>72</v>
      </c>
      <c r="E35" s="322" t="s">
        <v>235</v>
      </c>
      <c r="F35" s="322" t="s">
        <v>241</v>
      </c>
      <c r="G35" s="218">
        <f t="shared" si="5"/>
        <v>0.16666666666666666</v>
      </c>
      <c r="H35" s="172">
        <f t="shared" si="6"/>
        <v>0.66666666666666663</v>
      </c>
      <c r="I35" s="164" t="s">
        <v>4</v>
      </c>
      <c r="J35" s="169" t="s">
        <v>57</v>
      </c>
      <c r="K35" s="171" t="s">
        <v>57</v>
      </c>
      <c r="L35" s="175">
        <f t="shared" si="7"/>
        <v>0</v>
      </c>
      <c r="M35" s="177" t="s">
        <v>4</v>
      </c>
      <c r="N35" s="157" t="s">
        <v>4</v>
      </c>
      <c r="O35" s="188" t="s">
        <v>4</v>
      </c>
      <c r="P35" s="180">
        <f t="shared" si="8"/>
        <v>0</v>
      </c>
      <c r="Q35" s="181" t="s">
        <v>4</v>
      </c>
      <c r="R35" s="156" t="s">
        <v>4</v>
      </c>
      <c r="S35" s="184" t="s">
        <v>4</v>
      </c>
      <c r="T35" s="186" t="s">
        <v>4</v>
      </c>
      <c r="U35" s="190">
        <f t="shared" si="9"/>
        <v>0</v>
      </c>
      <c r="V35" s="158" t="s">
        <v>4</v>
      </c>
      <c r="W35" s="193" t="s">
        <v>4</v>
      </c>
      <c r="X35" s="195" t="s">
        <v>4</v>
      </c>
      <c r="Y35" s="197" t="s">
        <v>4</v>
      </c>
      <c r="Z35" s="198" t="s">
        <v>87</v>
      </c>
      <c r="AA35" s="199" t="s">
        <v>110</v>
      </c>
      <c r="AB35" s="161" t="s">
        <v>242</v>
      </c>
      <c r="AC35" s="159" t="s">
        <v>243</v>
      </c>
    </row>
    <row r="36" spans="1:29" ht="19.5" customHeight="1">
      <c r="A36" s="209" t="s">
        <v>244</v>
      </c>
      <c r="B36" s="350" t="s">
        <v>245</v>
      </c>
      <c r="C36" s="208" t="s">
        <v>64</v>
      </c>
      <c r="D36" s="208" t="s">
        <v>54</v>
      </c>
      <c r="E36" s="322" t="s">
        <v>235</v>
      </c>
      <c r="F36" s="322" t="s">
        <v>246</v>
      </c>
      <c r="G36" s="218">
        <f t="shared" si="5"/>
        <v>0.22916666666666666</v>
      </c>
      <c r="H36" s="172">
        <f t="shared" si="6"/>
        <v>0.66666666666666663</v>
      </c>
      <c r="I36" s="164" t="s">
        <v>4</v>
      </c>
      <c r="J36" s="169" t="s">
        <v>57</v>
      </c>
      <c r="K36" s="171" t="s">
        <v>57</v>
      </c>
      <c r="L36" s="175">
        <f t="shared" si="7"/>
        <v>0</v>
      </c>
      <c r="M36" s="177" t="s">
        <v>4</v>
      </c>
      <c r="N36" s="157" t="s">
        <v>4</v>
      </c>
      <c r="O36" s="188" t="s">
        <v>4</v>
      </c>
      <c r="P36" s="180">
        <f t="shared" si="8"/>
        <v>0.25</v>
      </c>
      <c r="Q36" s="181" t="s">
        <v>4</v>
      </c>
      <c r="R36" s="156" t="s">
        <v>4</v>
      </c>
      <c r="S36" s="184" t="s">
        <v>57</v>
      </c>
      <c r="T36" s="186" t="s">
        <v>4</v>
      </c>
      <c r="U36" s="190">
        <f t="shared" si="9"/>
        <v>0</v>
      </c>
      <c r="V36" s="158" t="s">
        <v>4</v>
      </c>
      <c r="W36" s="193" t="s">
        <v>4</v>
      </c>
      <c r="X36" s="195" t="s">
        <v>4</v>
      </c>
      <c r="Y36" s="197" t="s">
        <v>4</v>
      </c>
      <c r="Z36" s="198" t="s">
        <v>66</v>
      </c>
      <c r="AA36" s="199" t="s">
        <v>59</v>
      </c>
      <c r="AB36" s="161" t="s">
        <v>247</v>
      </c>
      <c r="AC36" s="159" t="s">
        <v>248</v>
      </c>
    </row>
    <row r="37" spans="1:29" ht="19.5" customHeight="1">
      <c r="A37" s="207" t="s">
        <v>249</v>
      </c>
      <c r="B37" s="350" t="s">
        <v>250</v>
      </c>
      <c r="C37" s="161"/>
      <c r="D37" s="208" t="s">
        <v>171</v>
      </c>
      <c r="E37" s="322" t="s">
        <v>219</v>
      </c>
      <c r="F37" s="322" t="s">
        <v>251</v>
      </c>
      <c r="G37" s="218">
        <f t="shared" si="5"/>
        <v>0.27083333333333331</v>
      </c>
      <c r="H37" s="172">
        <f t="shared" si="6"/>
        <v>0</v>
      </c>
      <c r="I37" s="163" t="s">
        <v>4</v>
      </c>
      <c r="J37" s="169" t="s">
        <v>4</v>
      </c>
      <c r="K37" s="171" t="s">
        <v>4</v>
      </c>
      <c r="L37" s="175">
        <f t="shared" si="7"/>
        <v>0.33333333333333331</v>
      </c>
      <c r="M37" s="177" t="s">
        <v>4</v>
      </c>
      <c r="N37" s="157" t="s">
        <v>57</v>
      </c>
      <c r="O37" s="188" t="s">
        <v>4</v>
      </c>
      <c r="P37" s="180">
        <f t="shared" si="8"/>
        <v>0.5</v>
      </c>
      <c r="Q37" s="181" t="s">
        <v>57</v>
      </c>
      <c r="R37" s="156" t="s">
        <v>57</v>
      </c>
      <c r="S37" s="184" t="s">
        <v>4</v>
      </c>
      <c r="T37" s="186" t="s">
        <v>4</v>
      </c>
      <c r="U37" s="190">
        <f t="shared" si="9"/>
        <v>0.25</v>
      </c>
      <c r="V37" s="158" t="s">
        <v>4</v>
      </c>
      <c r="W37" s="193" t="s">
        <v>4</v>
      </c>
      <c r="X37" s="195" t="s">
        <v>57</v>
      </c>
      <c r="Y37" s="197" t="s">
        <v>4</v>
      </c>
      <c r="Z37" s="198" t="s">
        <v>58</v>
      </c>
      <c r="AA37" s="199" t="s">
        <v>59</v>
      </c>
      <c r="AB37" s="161" t="s">
        <v>252</v>
      </c>
      <c r="AC37" s="159" t="s">
        <v>253</v>
      </c>
    </row>
    <row r="38" spans="1:29" ht="19.5" customHeight="1">
      <c r="A38" s="160" t="s">
        <v>254</v>
      </c>
      <c r="B38" s="410" t="s">
        <v>255</v>
      </c>
      <c r="C38" s="210" t="s">
        <v>129</v>
      </c>
      <c r="D38" s="208" t="s">
        <v>72</v>
      </c>
      <c r="E38" s="322" t="s">
        <v>235</v>
      </c>
      <c r="F38" s="322" t="s">
        <v>256</v>
      </c>
      <c r="G38" s="218">
        <f t="shared" si="5"/>
        <v>0.3125</v>
      </c>
      <c r="H38" s="172">
        <f t="shared" si="6"/>
        <v>0.66666666666666663</v>
      </c>
      <c r="I38" s="163" t="s">
        <v>4</v>
      </c>
      <c r="J38" s="169" t="s">
        <v>57</v>
      </c>
      <c r="K38" s="171" t="s">
        <v>57</v>
      </c>
      <c r="L38" s="175">
        <f t="shared" si="7"/>
        <v>0.33333333333333331</v>
      </c>
      <c r="M38" s="177" t="s">
        <v>4</v>
      </c>
      <c r="N38" s="157" t="s">
        <v>57</v>
      </c>
      <c r="O38" s="188" t="s">
        <v>4</v>
      </c>
      <c r="P38" s="180">
        <f t="shared" si="8"/>
        <v>0</v>
      </c>
      <c r="Q38" s="181" t="s">
        <v>4</v>
      </c>
      <c r="R38" s="156" t="s">
        <v>4</v>
      </c>
      <c r="S38" s="184" t="s">
        <v>4</v>
      </c>
      <c r="T38" s="186" t="s">
        <v>4</v>
      </c>
      <c r="U38" s="190">
        <f t="shared" si="9"/>
        <v>0.25</v>
      </c>
      <c r="V38" s="158" t="s">
        <v>4</v>
      </c>
      <c r="W38" s="193" t="s">
        <v>4</v>
      </c>
      <c r="X38" s="195" t="s">
        <v>57</v>
      </c>
      <c r="Y38" s="197" t="s">
        <v>4</v>
      </c>
      <c r="Z38" s="198" t="s">
        <v>58</v>
      </c>
      <c r="AA38" s="201" t="s">
        <v>59</v>
      </c>
      <c r="AB38" s="161" t="s">
        <v>257</v>
      </c>
      <c r="AC38" s="159" t="s">
        <v>258</v>
      </c>
    </row>
    <row r="39" spans="1:29" ht="19.5" customHeight="1">
      <c r="A39" s="209" t="s">
        <v>259</v>
      </c>
      <c r="B39" s="350" t="s">
        <v>260</v>
      </c>
      <c r="C39" s="208" t="s">
        <v>53</v>
      </c>
      <c r="D39" s="208" t="s">
        <v>54</v>
      </c>
      <c r="E39" s="322" t="s">
        <v>235</v>
      </c>
      <c r="F39" s="322" t="s">
        <v>261</v>
      </c>
      <c r="G39" s="218">
        <f t="shared" si="5"/>
        <v>0.3125</v>
      </c>
      <c r="H39" s="172">
        <f t="shared" si="6"/>
        <v>0.33333333333333331</v>
      </c>
      <c r="I39" s="164" t="s">
        <v>4</v>
      </c>
      <c r="J39" s="169" t="s">
        <v>4</v>
      </c>
      <c r="K39" s="171" t="s">
        <v>57</v>
      </c>
      <c r="L39" s="175">
        <f t="shared" si="7"/>
        <v>0.66666666666666663</v>
      </c>
      <c r="M39" s="177" t="s">
        <v>4</v>
      </c>
      <c r="N39" s="157" t="s">
        <v>57</v>
      </c>
      <c r="O39" s="188" t="s">
        <v>57</v>
      </c>
      <c r="P39" s="180">
        <f t="shared" si="8"/>
        <v>0</v>
      </c>
      <c r="Q39" s="181" t="s">
        <v>4</v>
      </c>
      <c r="R39" s="156" t="s">
        <v>4</v>
      </c>
      <c r="S39" s="184" t="s">
        <v>4</v>
      </c>
      <c r="T39" s="186" t="s">
        <v>4</v>
      </c>
      <c r="U39" s="190">
        <f t="shared" si="9"/>
        <v>0.25</v>
      </c>
      <c r="V39" s="158" t="s">
        <v>4</v>
      </c>
      <c r="W39" s="193" t="s">
        <v>4</v>
      </c>
      <c r="X39" s="195" t="s">
        <v>57</v>
      </c>
      <c r="Y39" s="197" t="s">
        <v>4</v>
      </c>
      <c r="Z39" s="198" t="s">
        <v>58</v>
      </c>
      <c r="AA39" s="199" t="s">
        <v>59</v>
      </c>
      <c r="AB39" s="161" t="s">
        <v>262</v>
      </c>
      <c r="AC39" s="159" t="s">
        <v>263</v>
      </c>
    </row>
    <row r="40" spans="1:29" ht="15">
      <c r="A40" s="207" t="s">
        <v>264</v>
      </c>
      <c r="B40" s="350" t="s">
        <v>265</v>
      </c>
      <c r="C40" s="208" t="s">
        <v>64</v>
      </c>
      <c r="D40" s="208" t="s">
        <v>54</v>
      </c>
      <c r="E40" s="322" t="s">
        <v>219</v>
      </c>
      <c r="F40" s="322" t="s">
        <v>266</v>
      </c>
      <c r="G40" s="218">
        <f t="shared" si="5"/>
        <v>0.33333333333333331</v>
      </c>
      <c r="H40" s="172">
        <f t="shared" si="6"/>
        <v>0</v>
      </c>
      <c r="I40" s="163" t="s">
        <v>4</v>
      </c>
      <c r="J40" s="169" t="s">
        <v>4</v>
      </c>
      <c r="K40" s="171" t="s">
        <v>4</v>
      </c>
      <c r="L40" s="175">
        <f t="shared" si="7"/>
        <v>0.33333333333333331</v>
      </c>
      <c r="M40" s="177" t="s">
        <v>4</v>
      </c>
      <c r="N40" s="157" t="s">
        <v>57</v>
      </c>
      <c r="O40" s="188" t="s">
        <v>4</v>
      </c>
      <c r="P40" s="180">
        <f t="shared" si="8"/>
        <v>0.75</v>
      </c>
      <c r="Q40" s="181" t="s">
        <v>4</v>
      </c>
      <c r="R40" s="156" t="s">
        <v>57</v>
      </c>
      <c r="S40" s="184" t="s">
        <v>57</v>
      </c>
      <c r="T40" s="186" t="s">
        <v>57</v>
      </c>
      <c r="U40" s="190">
        <f t="shared" si="9"/>
        <v>0.25</v>
      </c>
      <c r="V40" s="158" t="s">
        <v>4</v>
      </c>
      <c r="W40" s="193" t="s">
        <v>4</v>
      </c>
      <c r="X40" s="195" t="s">
        <v>57</v>
      </c>
      <c r="Y40" s="197" t="s">
        <v>4</v>
      </c>
      <c r="Z40" s="198" t="s">
        <v>66</v>
      </c>
      <c r="AA40" s="199" t="s">
        <v>67</v>
      </c>
      <c r="AB40" s="161" t="s">
        <v>267</v>
      </c>
      <c r="AC40" s="159" t="s">
        <v>268</v>
      </c>
    </row>
    <row r="41" spans="1:29" ht="19.5" customHeight="1">
      <c r="A41" s="207" t="s">
        <v>269</v>
      </c>
      <c r="B41" s="410" t="s">
        <v>270</v>
      </c>
      <c r="C41" s="208" t="s">
        <v>64</v>
      </c>
      <c r="D41" s="208" t="s">
        <v>72</v>
      </c>
      <c r="E41" s="322" t="s">
        <v>235</v>
      </c>
      <c r="F41" s="322" t="s">
        <v>271</v>
      </c>
      <c r="G41" s="218">
        <f t="shared" si="5"/>
        <v>0.33333333333333331</v>
      </c>
      <c r="H41" s="172">
        <f t="shared" si="6"/>
        <v>1</v>
      </c>
      <c r="I41" s="163" t="s">
        <v>57</v>
      </c>
      <c r="J41" s="169" t="s">
        <v>57</v>
      </c>
      <c r="K41" s="171" t="s">
        <v>57</v>
      </c>
      <c r="L41" s="175">
        <f t="shared" si="7"/>
        <v>0.33333333333333331</v>
      </c>
      <c r="M41" s="177" t="s">
        <v>272</v>
      </c>
      <c r="N41" s="157" t="s">
        <v>57</v>
      </c>
      <c r="O41" s="188" t="s">
        <v>4</v>
      </c>
      <c r="P41" s="180">
        <f t="shared" si="8"/>
        <v>0</v>
      </c>
      <c r="Q41" s="181" t="s">
        <v>4</v>
      </c>
      <c r="R41" s="156" t="s">
        <v>4</v>
      </c>
      <c r="S41" s="184" t="s">
        <v>4</v>
      </c>
      <c r="T41" s="186" t="s">
        <v>4</v>
      </c>
      <c r="U41" s="190">
        <f t="shared" si="9"/>
        <v>0</v>
      </c>
      <c r="V41" s="158" t="s">
        <v>4</v>
      </c>
      <c r="W41" s="193" t="s">
        <v>4</v>
      </c>
      <c r="X41" s="195" t="s">
        <v>4</v>
      </c>
      <c r="Y41" s="197" t="s">
        <v>4</v>
      </c>
      <c r="Z41" s="198" t="s">
        <v>87</v>
      </c>
      <c r="AA41" s="200" t="s">
        <v>110</v>
      </c>
      <c r="AB41" s="161" t="s">
        <v>273</v>
      </c>
      <c r="AC41" s="159" t="s">
        <v>274</v>
      </c>
    </row>
    <row r="42" spans="1:29" ht="19.5" customHeight="1">
      <c r="A42" s="207" t="s">
        <v>275</v>
      </c>
      <c r="B42" s="350" t="s">
        <v>276</v>
      </c>
      <c r="C42" s="208" t="s">
        <v>64</v>
      </c>
      <c r="D42" s="208" t="s">
        <v>54</v>
      </c>
      <c r="E42" s="322" t="s">
        <v>235</v>
      </c>
      <c r="F42" s="322" t="s">
        <v>277</v>
      </c>
      <c r="G42" s="218">
        <f t="shared" si="5"/>
        <v>0.375</v>
      </c>
      <c r="H42" s="172">
        <f t="shared" si="6"/>
        <v>0.66666666666666663</v>
      </c>
      <c r="I42" s="163" t="s">
        <v>4</v>
      </c>
      <c r="J42" s="169" t="s">
        <v>57</v>
      </c>
      <c r="K42" s="171" t="s">
        <v>57</v>
      </c>
      <c r="L42" s="175">
        <f t="shared" si="7"/>
        <v>0.33333333333333331</v>
      </c>
      <c r="M42" s="177" t="s">
        <v>4</v>
      </c>
      <c r="N42" s="157" t="s">
        <v>57</v>
      </c>
      <c r="O42" s="188" t="s">
        <v>4</v>
      </c>
      <c r="P42" s="180">
        <f t="shared" si="8"/>
        <v>0.25</v>
      </c>
      <c r="Q42" s="181" t="s">
        <v>4</v>
      </c>
      <c r="R42" s="156" t="s">
        <v>4</v>
      </c>
      <c r="S42" s="184" t="s">
        <v>57</v>
      </c>
      <c r="T42" s="186" t="s">
        <v>4</v>
      </c>
      <c r="U42" s="190">
        <f t="shared" si="9"/>
        <v>0.25</v>
      </c>
      <c r="V42" s="158" t="s">
        <v>4</v>
      </c>
      <c r="W42" s="193" t="s">
        <v>4</v>
      </c>
      <c r="X42" s="195" t="s">
        <v>57</v>
      </c>
      <c r="Y42" s="197" t="s">
        <v>4</v>
      </c>
      <c r="Z42" s="198" t="s">
        <v>66</v>
      </c>
      <c r="AA42" s="200" t="s">
        <v>278</v>
      </c>
      <c r="AB42" s="161" t="s">
        <v>279</v>
      </c>
      <c r="AC42" s="159" t="s">
        <v>280</v>
      </c>
    </row>
    <row r="43" spans="1:29" ht="19.5" customHeight="1">
      <c r="A43" s="209" t="s">
        <v>281</v>
      </c>
      <c r="B43" s="350" t="s">
        <v>282</v>
      </c>
      <c r="C43" s="208" t="s">
        <v>64</v>
      </c>
      <c r="D43" s="208" t="s">
        <v>54</v>
      </c>
      <c r="E43" s="322" t="s">
        <v>235</v>
      </c>
      <c r="F43" s="322" t="s">
        <v>283</v>
      </c>
      <c r="G43" s="218">
        <f t="shared" si="5"/>
        <v>0.39583333333333331</v>
      </c>
      <c r="H43" s="172">
        <f t="shared" si="6"/>
        <v>0.66666666666666663</v>
      </c>
      <c r="I43" s="164" t="s">
        <v>4</v>
      </c>
      <c r="J43" s="169" t="s">
        <v>57</v>
      </c>
      <c r="K43" s="171" t="s">
        <v>57</v>
      </c>
      <c r="L43" s="175">
        <f t="shared" si="7"/>
        <v>0.66666666666666663</v>
      </c>
      <c r="M43" s="177" t="s">
        <v>57</v>
      </c>
      <c r="N43" s="157" t="s">
        <v>57</v>
      </c>
      <c r="O43" s="188" t="s">
        <v>4</v>
      </c>
      <c r="P43" s="180">
        <f t="shared" si="8"/>
        <v>0</v>
      </c>
      <c r="Q43" s="181" t="s">
        <v>4</v>
      </c>
      <c r="R43" s="156" t="s">
        <v>4</v>
      </c>
      <c r="S43" s="184" t="s">
        <v>4</v>
      </c>
      <c r="T43" s="186" t="s">
        <v>4</v>
      </c>
      <c r="U43" s="190">
        <f t="shared" si="9"/>
        <v>0.25</v>
      </c>
      <c r="V43" s="158" t="s">
        <v>4</v>
      </c>
      <c r="W43" s="193" t="s">
        <v>4</v>
      </c>
      <c r="X43" s="195" t="s">
        <v>57</v>
      </c>
      <c r="Y43" s="197" t="s">
        <v>4</v>
      </c>
      <c r="Z43" s="198" t="s">
        <v>66</v>
      </c>
      <c r="AA43" s="199" t="s">
        <v>110</v>
      </c>
      <c r="AB43" s="161" t="s">
        <v>284</v>
      </c>
      <c r="AC43" s="159" t="s">
        <v>285</v>
      </c>
    </row>
    <row r="44" spans="1:29" ht="19.5" customHeight="1">
      <c r="A44" s="207" t="s">
        <v>286</v>
      </c>
      <c r="B44" s="410" t="s">
        <v>287</v>
      </c>
      <c r="C44" s="208" t="s">
        <v>64</v>
      </c>
      <c r="D44" s="208" t="s">
        <v>72</v>
      </c>
      <c r="E44" s="322" t="s">
        <v>235</v>
      </c>
      <c r="F44" s="322" t="s">
        <v>288</v>
      </c>
      <c r="G44" s="218">
        <f t="shared" si="5"/>
        <v>0.39583333333333331</v>
      </c>
      <c r="H44" s="172">
        <f t="shared" si="6"/>
        <v>0.66666666666666663</v>
      </c>
      <c r="I44" s="163" t="s">
        <v>57</v>
      </c>
      <c r="J44" s="169" t="s">
        <v>4</v>
      </c>
      <c r="K44" s="171" t="s">
        <v>57</v>
      </c>
      <c r="L44" s="175">
        <f t="shared" si="7"/>
        <v>0.66666666666666663</v>
      </c>
      <c r="M44" s="177" t="s">
        <v>57</v>
      </c>
      <c r="N44" s="157" t="s">
        <v>57</v>
      </c>
      <c r="O44" s="188" t="s">
        <v>4</v>
      </c>
      <c r="P44" s="180">
        <f t="shared" si="8"/>
        <v>0.25</v>
      </c>
      <c r="Q44" s="181" t="s">
        <v>4</v>
      </c>
      <c r="R44" s="156" t="s">
        <v>57</v>
      </c>
      <c r="S44" s="184" t="s">
        <v>4</v>
      </c>
      <c r="T44" s="186" t="s">
        <v>4</v>
      </c>
      <c r="U44" s="190">
        <f t="shared" si="9"/>
        <v>0</v>
      </c>
      <c r="V44" s="158" t="s">
        <v>4</v>
      </c>
      <c r="W44" s="193" t="s">
        <v>4</v>
      </c>
      <c r="X44" s="195" t="s">
        <v>4</v>
      </c>
      <c r="Y44" s="197" t="s">
        <v>4</v>
      </c>
      <c r="Z44" s="198" t="s">
        <v>58</v>
      </c>
      <c r="AA44" s="200" t="s">
        <v>59</v>
      </c>
      <c r="AB44" s="161" t="s">
        <v>289</v>
      </c>
      <c r="AC44" s="159" t="s">
        <v>290</v>
      </c>
    </row>
    <row r="45" spans="1:29" ht="19.5" customHeight="1">
      <c r="A45" s="207" t="s">
        <v>291</v>
      </c>
      <c r="B45" s="350" t="s">
        <v>292</v>
      </c>
      <c r="C45" s="208" t="s">
        <v>53</v>
      </c>
      <c r="D45" s="208" t="s">
        <v>54</v>
      </c>
      <c r="E45" s="322" t="s">
        <v>235</v>
      </c>
      <c r="F45" s="322" t="s">
        <v>293</v>
      </c>
      <c r="G45" s="218">
        <f t="shared" si="5"/>
        <v>0.45833333333333331</v>
      </c>
      <c r="H45" s="172">
        <f t="shared" si="6"/>
        <v>0.33333333333333331</v>
      </c>
      <c r="I45" s="163" t="s">
        <v>4</v>
      </c>
      <c r="J45" s="169" t="s">
        <v>57</v>
      </c>
      <c r="K45" s="171" t="s">
        <v>4</v>
      </c>
      <c r="L45" s="175">
        <f t="shared" si="7"/>
        <v>1</v>
      </c>
      <c r="M45" s="177"/>
      <c r="N45" s="157" t="s">
        <v>57</v>
      </c>
      <c r="O45" s="188" t="s">
        <v>57</v>
      </c>
      <c r="P45" s="180">
        <f t="shared" si="8"/>
        <v>0.25</v>
      </c>
      <c r="Q45" s="181" t="s">
        <v>4</v>
      </c>
      <c r="R45" s="156" t="s">
        <v>4</v>
      </c>
      <c r="S45" s="184" t="s">
        <v>57</v>
      </c>
      <c r="T45" s="186" t="s">
        <v>4</v>
      </c>
      <c r="U45" s="190">
        <f t="shared" si="9"/>
        <v>0.25</v>
      </c>
      <c r="V45" s="158" t="s">
        <v>4</v>
      </c>
      <c r="W45" s="193" t="s">
        <v>4</v>
      </c>
      <c r="X45" s="195" t="s">
        <v>57</v>
      </c>
      <c r="Y45" s="197" t="s">
        <v>4</v>
      </c>
      <c r="Z45" s="198" t="s">
        <v>87</v>
      </c>
      <c r="AA45" s="199" t="s">
        <v>67</v>
      </c>
      <c r="AB45" s="161" t="s">
        <v>294</v>
      </c>
      <c r="AC45" s="159" t="s">
        <v>295</v>
      </c>
    </row>
    <row r="46" spans="1:29" ht="19.5" customHeight="1">
      <c r="A46" s="207" t="s">
        <v>296</v>
      </c>
      <c r="B46" s="350" t="s">
        <v>297</v>
      </c>
      <c r="C46" s="208" t="s">
        <v>64</v>
      </c>
      <c r="D46" s="208" t="s">
        <v>54</v>
      </c>
      <c r="E46" s="322" t="s">
        <v>219</v>
      </c>
      <c r="F46" s="322" t="s">
        <v>298</v>
      </c>
      <c r="G46" s="218">
        <f t="shared" si="5"/>
        <v>0.5</v>
      </c>
      <c r="H46" s="172">
        <f t="shared" si="6"/>
        <v>0.33333333333333331</v>
      </c>
      <c r="I46" s="163" t="s">
        <v>4</v>
      </c>
      <c r="J46" s="169" t="s">
        <v>4</v>
      </c>
      <c r="K46" s="171" t="s">
        <v>57</v>
      </c>
      <c r="L46" s="175">
        <f t="shared" si="7"/>
        <v>0.66666666666666663</v>
      </c>
      <c r="M46" s="177" t="s">
        <v>57</v>
      </c>
      <c r="N46" s="157" t="s">
        <v>57</v>
      </c>
      <c r="O46" s="188" t="s">
        <v>4</v>
      </c>
      <c r="P46" s="180">
        <f t="shared" si="8"/>
        <v>0.5</v>
      </c>
      <c r="Q46" s="181" t="s">
        <v>57</v>
      </c>
      <c r="R46" s="156" t="s">
        <v>4</v>
      </c>
      <c r="S46" s="184" t="s">
        <v>57</v>
      </c>
      <c r="T46" s="186" t="s">
        <v>4</v>
      </c>
      <c r="U46" s="190">
        <f t="shared" si="9"/>
        <v>0.5</v>
      </c>
      <c r="V46" s="158" t="s">
        <v>57</v>
      </c>
      <c r="W46" s="193" t="s">
        <v>4</v>
      </c>
      <c r="X46" s="195" t="s">
        <v>57</v>
      </c>
      <c r="Y46" s="197" t="s">
        <v>4</v>
      </c>
      <c r="Z46" s="198" t="s">
        <v>87</v>
      </c>
      <c r="AA46" s="200" t="s">
        <v>59</v>
      </c>
      <c r="AB46" s="161" t="s">
        <v>299</v>
      </c>
      <c r="AC46" s="159" t="s">
        <v>300</v>
      </c>
    </row>
    <row r="47" spans="1:29" ht="19.5" customHeight="1">
      <c r="A47" s="207" t="s">
        <v>301</v>
      </c>
      <c r="B47" s="350" t="s">
        <v>302</v>
      </c>
      <c r="C47" s="208" t="s">
        <v>64</v>
      </c>
      <c r="D47" s="208" t="s">
        <v>54</v>
      </c>
      <c r="E47" s="322" t="s">
        <v>235</v>
      </c>
      <c r="F47" s="322" t="s">
        <v>303</v>
      </c>
      <c r="G47" s="218">
        <f t="shared" si="5"/>
        <v>0.5</v>
      </c>
      <c r="H47" s="172">
        <f t="shared" si="6"/>
        <v>0.66666666666666663</v>
      </c>
      <c r="I47" s="163" t="s">
        <v>4</v>
      </c>
      <c r="J47" s="169" t="s">
        <v>57</v>
      </c>
      <c r="K47" s="171" t="s">
        <v>57</v>
      </c>
      <c r="L47" s="175">
        <f t="shared" si="7"/>
        <v>0.33333333333333331</v>
      </c>
      <c r="M47" s="177" t="s">
        <v>4</v>
      </c>
      <c r="N47" s="157" t="s">
        <v>4</v>
      </c>
      <c r="O47" s="188" t="s">
        <v>57</v>
      </c>
      <c r="P47" s="180">
        <f t="shared" si="8"/>
        <v>0.5</v>
      </c>
      <c r="Q47" s="181" t="s">
        <v>57</v>
      </c>
      <c r="R47" s="156" t="s">
        <v>4</v>
      </c>
      <c r="S47" s="184" t="s">
        <v>57</v>
      </c>
      <c r="T47" s="186" t="s">
        <v>4</v>
      </c>
      <c r="U47" s="190">
        <f t="shared" si="9"/>
        <v>0.5</v>
      </c>
      <c r="V47" s="158" t="s">
        <v>57</v>
      </c>
      <c r="W47" s="193" t="s">
        <v>4</v>
      </c>
      <c r="X47" s="195" t="s">
        <v>57</v>
      </c>
      <c r="Y47" s="197" t="s">
        <v>4</v>
      </c>
      <c r="Z47" s="198" t="s">
        <v>87</v>
      </c>
      <c r="AA47" s="200" t="s">
        <v>59</v>
      </c>
      <c r="AB47" s="161" t="s">
        <v>304</v>
      </c>
      <c r="AC47" s="159" t="s">
        <v>305</v>
      </c>
    </row>
    <row r="48" spans="1:29" ht="19.5" customHeight="1">
      <c r="A48" s="209" t="s">
        <v>306</v>
      </c>
      <c r="B48" s="350" t="s">
        <v>307</v>
      </c>
      <c r="C48" s="210" t="s">
        <v>308</v>
      </c>
      <c r="D48" s="208" t="s">
        <v>54</v>
      </c>
      <c r="E48" s="322" t="s">
        <v>235</v>
      </c>
      <c r="F48" s="322" t="s">
        <v>309</v>
      </c>
      <c r="G48" s="218">
        <f t="shared" si="5"/>
        <v>0.54166666666666663</v>
      </c>
      <c r="H48" s="172">
        <f t="shared" si="6"/>
        <v>1</v>
      </c>
      <c r="I48" s="164" t="s">
        <v>57</v>
      </c>
      <c r="J48" s="169" t="s">
        <v>57</v>
      </c>
      <c r="K48" s="171" t="s">
        <v>57</v>
      </c>
      <c r="L48" s="175">
        <f t="shared" si="7"/>
        <v>0.66666666666666663</v>
      </c>
      <c r="M48" s="177" t="s">
        <v>57</v>
      </c>
      <c r="N48" s="157" t="s">
        <v>4</v>
      </c>
      <c r="O48" s="188" t="s">
        <v>57</v>
      </c>
      <c r="P48" s="180">
        <f t="shared" si="8"/>
        <v>0.25</v>
      </c>
      <c r="Q48" s="181" t="s">
        <v>4</v>
      </c>
      <c r="R48" s="156" t="s">
        <v>57</v>
      </c>
      <c r="S48" s="184" t="s">
        <v>4</v>
      </c>
      <c r="T48" s="186" t="s">
        <v>4</v>
      </c>
      <c r="U48" s="190">
        <f t="shared" si="9"/>
        <v>0.25</v>
      </c>
      <c r="V48" s="158" t="s">
        <v>57</v>
      </c>
      <c r="W48" s="193" t="s">
        <v>4</v>
      </c>
      <c r="X48" s="195" t="s">
        <v>4</v>
      </c>
      <c r="Y48" s="197" t="s">
        <v>4</v>
      </c>
      <c r="Z48" s="198" t="s">
        <v>66</v>
      </c>
      <c r="AA48" s="200" t="s">
        <v>110</v>
      </c>
      <c r="AB48" s="161" t="s">
        <v>310</v>
      </c>
      <c r="AC48" s="159" t="s">
        <v>311</v>
      </c>
    </row>
    <row r="49" spans="1:29" ht="19.5" customHeight="1">
      <c r="A49" s="209" t="s">
        <v>312</v>
      </c>
      <c r="B49" s="350" t="s">
        <v>313</v>
      </c>
      <c r="C49" s="210" t="s">
        <v>53</v>
      </c>
      <c r="D49" s="208" t="s">
        <v>54</v>
      </c>
      <c r="E49" s="322" t="s">
        <v>219</v>
      </c>
      <c r="F49" s="322" t="s">
        <v>314</v>
      </c>
      <c r="G49" s="218">
        <f t="shared" si="5"/>
        <v>0.58333333333333326</v>
      </c>
      <c r="H49" s="172">
        <f t="shared" si="6"/>
        <v>0.66666666666666663</v>
      </c>
      <c r="I49" s="164" t="s">
        <v>57</v>
      </c>
      <c r="J49" s="169" t="s">
        <v>4</v>
      </c>
      <c r="K49" s="171" t="s">
        <v>57</v>
      </c>
      <c r="L49" s="175">
        <f t="shared" si="7"/>
        <v>0.66666666666666663</v>
      </c>
      <c r="M49" s="177" t="s">
        <v>57</v>
      </c>
      <c r="N49" s="157" t="s">
        <v>57</v>
      </c>
      <c r="O49" s="188" t="s">
        <v>4</v>
      </c>
      <c r="P49" s="180">
        <f t="shared" si="8"/>
        <v>0.5</v>
      </c>
      <c r="Q49" s="181" t="s">
        <v>57</v>
      </c>
      <c r="R49" s="156" t="s">
        <v>4</v>
      </c>
      <c r="S49" s="184" t="s">
        <v>57</v>
      </c>
      <c r="T49" s="186" t="s">
        <v>4</v>
      </c>
      <c r="U49" s="190">
        <f t="shared" si="9"/>
        <v>0.5</v>
      </c>
      <c r="V49" s="158" t="s">
        <v>57</v>
      </c>
      <c r="W49" s="193" t="s">
        <v>4</v>
      </c>
      <c r="X49" s="195" t="s">
        <v>57</v>
      </c>
      <c r="Y49" s="197" t="s">
        <v>4</v>
      </c>
      <c r="Z49" s="198" t="s">
        <v>87</v>
      </c>
      <c r="AA49" s="199" t="s">
        <v>110</v>
      </c>
      <c r="AB49" s="161" t="s">
        <v>315</v>
      </c>
      <c r="AC49" s="159" t="s">
        <v>316</v>
      </c>
    </row>
    <row r="50" spans="1:29" ht="19.5" customHeight="1">
      <c r="A50" s="209" t="s">
        <v>317</v>
      </c>
      <c r="B50" s="350" t="s">
        <v>318</v>
      </c>
      <c r="C50" s="208" t="s">
        <v>64</v>
      </c>
      <c r="D50" s="208" t="s">
        <v>54</v>
      </c>
      <c r="E50" s="322" t="s">
        <v>219</v>
      </c>
      <c r="F50" s="322" t="s">
        <v>319</v>
      </c>
      <c r="G50" s="218">
        <f t="shared" si="5"/>
        <v>0.64583333333333326</v>
      </c>
      <c r="H50" s="172">
        <f t="shared" si="6"/>
        <v>0.66666666666666663</v>
      </c>
      <c r="I50" s="164" t="s">
        <v>57</v>
      </c>
      <c r="J50" s="169" t="s">
        <v>4</v>
      </c>
      <c r="K50" s="171" t="s">
        <v>57</v>
      </c>
      <c r="L50" s="175">
        <f t="shared" si="7"/>
        <v>0.66666666666666663</v>
      </c>
      <c r="M50" s="177" t="s">
        <v>57</v>
      </c>
      <c r="N50" s="157" t="s">
        <v>57</v>
      </c>
      <c r="O50" s="188" t="s">
        <v>4</v>
      </c>
      <c r="P50" s="180">
        <f t="shared" si="8"/>
        <v>0.75</v>
      </c>
      <c r="Q50" s="181" t="s">
        <v>57</v>
      </c>
      <c r="R50" s="156" t="s">
        <v>4</v>
      </c>
      <c r="S50" s="184" t="s">
        <v>57</v>
      </c>
      <c r="T50" s="186" t="s">
        <v>57</v>
      </c>
      <c r="U50" s="190">
        <f t="shared" si="9"/>
        <v>0.5</v>
      </c>
      <c r="V50" s="158" t="s">
        <v>57</v>
      </c>
      <c r="W50" s="193" t="s">
        <v>4</v>
      </c>
      <c r="X50" s="195" t="s">
        <v>57</v>
      </c>
      <c r="Y50" s="197" t="s">
        <v>4</v>
      </c>
      <c r="Z50" s="198" t="s">
        <v>87</v>
      </c>
      <c r="AA50" s="199" t="s">
        <v>110</v>
      </c>
      <c r="AB50" s="161" t="s">
        <v>320</v>
      </c>
      <c r="AC50" s="159" t="s">
        <v>321</v>
      </c>
    </row>
    <row r="51" spans="1:29" ht="15">
      <c r="A51" s="207" t="s">
        <v>322</v>
      </c>
      <c r="B51" s="350" t="s">
        <v>323</v>
      </c>
      <c r="C51" s="208" t="s">
        <v>53</v>
      </c>
      <c r="D51" s="208" t="s">
        <v>54</v>
      </c>
      <c r="E51" s="322" t="s">
        <v>219</v>
      </c>
      <c r="F51" s="322" t="s">
        <v>324</v>
      </c>
      <c r="G51" s="218">
        <f t="shared" si="5"/>
        <v>0.64583333333333326</v>
      </c>
      <c r="H51" s="172">
        <f t="shared" si="6"/>
        <v>0.66666666666666663</v>
      </c>
      <c r="I51" s="164" t="s">
        <v>57</v>
      </c>
      <c r="J51" s="169" t="s">
        <v>4</v>
      </c>
      <c r="K51" s="171" t="s">
        <v>57</v>
      </c>
      <c r="L51" s="175">
        <f t="shared" si="7"/>
        <v>0.66666666666666663</v>
      </c>
      <c r="M51" s="177" t="s">
        <v>57</v>
      </c>
      <c r="N51" s="157" t="s">
        <v>57</v>
      </c>
      <c r="O51" s="188" t="s">
        <v>4</v>
      </c>
      <c r="P51" s="180">
        <f t="shared" si="8"/>
        <v>1</v>
      </c>
      <c r="Q51" s="181" t="s">
        <v>57</v>
      </c>
      <c r="R51" s="156" t="s">
        <v>57</v>
      </c>
      <c r="S51" s="184" t="s">
        <v>57</v>
      </c>
      <c r="T51" s="186" t="s">
        <v>57</v>
      </c>
      <c r="U51" s="190">
        <f t="shared" si="9"/>
        <v>0.25</v>
      </c>
      <c r="V51" s="158" t="s">
        <v>4</v>
      </c>
      <c r="W51" s="193" t="s">
        <v>4</v>
      </c>
      <c r="X51" s="195" t="s">
        <v>57</v>
      </c>
      <c r="Y51" s="197" t="s">
        <v>4</v>
      </c>
      <c r="Z51" s="198" t="s">
        <v>58</v>
      </c>
      <c r="AA51" s="200" t="s">
        <v>110</v>
      </c>
      <c r="AB51" s="161"/>
      <c r="AC51" s="161"/>
    </row>
    <row r="52" spans="1:29" ht="19.5" customHeight="1">
      <c r="A52" s="207" t="s">
        <v>325</v>
      </c>
      <c r="B52" s="350" t="s">
        <v>326</v>
      </c>
      <c r="C52" s="208" t="s">
        <v>64</v>
      </c>
      <c r="D52" s="208" t="s">
        <v>72</v>
      </c>
      <c r="E52" s="322" t="s">
        <v>219</v>
      </c>
      <c r="F52" s="322" t="s">
        <v>327</v>
      </c>
      <c r="G52" s="218">
        <f t="shared" si="5"/>
        <v>0.66666666666666663</v>
      </c>
      <c r="H52" s="172">
        <f t="shared" si="6"/>
        <v>1</v>
      </c>
      <c r="I52" s="163" t="s">
        <v>57</v>
      </c>
      <c r="J52" s="169" t="s">
        <v>57</v>
      </c>
      <c r="K52" s="171" t="s">
        <v>57</v>
      </c>
      <c r="L52" s="175">
        <f t="shared" si="7"/>
        <v>0.66666666666666663</v>
      </c>
      <c r="M52" s="177" t="s">
        <v>57</v>
      </c>
      <c r="N52" s="157" t="s">
        <v>57</v>
      </c>
      <c r="O52" s="188" t="s">
        <v>4</v>
      </c>
      <c r="P52" s="180">
        <f t="shared" si="8"/>
        <v>0.5</v>
      </c>
      <c r="Q52" s="181" t="s">
        <v>57</v>
      </c>
      <c r="R52" s="156" t="s">
        <v>4</v>
      </c>
      <c r="S52" s="184" t="s">
        <v>4</v>
      </c>
      <c r="T52" s="186" t="s">
        <v>57</v>
      </c>
      <c r="U52" s="190">
        <f t="shared" si="9"/>
        <v>0.5</v>
      </c>
      <c r="V52" s="158" t="s">
        <v>57</v>
      </c>
      <c r="W52" s="193" t="s">
        <v>4</v>
      </c>
      <c r="X52" s="195" t="s">
        <v>57</v>
      </c>
      <c r="Y52" s="197" t="s">
        <v>4</v>
      </c>
      <c r="Z52" s="198" t="s">
        <v>87</v>
      </c>
      <c r="AA52" s="199" t="s">
        <v>110</v>
      </c>
      <c r="AB52" s="161" t="s">
        <v>328</v>
      </c>
      <c r="AC52" s="159" t="s">
        <v>329</v>
      </c>
    </row>
    <row r="53" spans="1:29" ht="19.5" customHeight="1">
      <c r="A53" s="207" t="s">
        <v>330</v>
      </c>
      <c r="B53" s="350" t="s">
        <v>331</v>
      </c>
      <c r="C53" s="208" t="s">
        <v>78</v>
      </c>
      <c r="D53" s="208" t="s">
        <v>54</v>
      </c>
      <c r="E53" s="322" t="s">
        <v>219</v>
      </c>
      <c r="F53" s="322" t="s">
        <v>332</v>
      </c>
      <c r="G53" s="218">
        <f t="shared" si="5"/>
        <v>0.66666666666666663</v>
      </c>
      <c r="H53" s="172">
        <f t="shared" si="6"/>
        <v>1</v>
      </c>
      <c r="I53" s="163" t="s">
        <v>57</v>
      </c>
      <c r="J53" s="169" t="s">
        <v>57</v>
      </c>
      <c r="K53" s="171" t="s">
        <v>57</v>
      </c>
      <c r="L53" s="175">
        <f t="shared" si="7"/>
        <v>0.66666666666666663</v>
      </c>
      <c r="M53" s="177" t="s">
        <v>57</v>
      </c>
      <c r="N53" s="157" t="s">
        <v>57</v>
      </c>
      <c r="O53" s="188" t="s">
        <v>4</v>
      </c>
      <c r="P53" s="180">
        <f t="shared" si="8"/>
        <v>0.5</v>
      </c>
      <c r="Q53" s="181" t="s">
        <v>57</v>
      </c>
      <c r="R53" s="156" t="s">
        <v>4</v>
      </c>
      <c r="S53" s="184" t="s">
        <v>57</v>
      </c>
      <c r="T53" s="186" t="s">
        <v>4</v>
      </c>
      <c r="U53" s="190">
        <f t="shared" si="9"/>
        <v>0.5</v>
      </c>
      <c r="V53" s="158" t="s">
        <v>57</v>
      </c>
      <c r="W53" s="193" t="s">
        <v>4</v>
      </c>
      <c r="X53" s="195" t="s">
        <v>57</v>
      </c>
      <c r="Y53" s="197" t="s">
        <v>4</v>
      </c>
      <c r="Z53" s="198" t="s">
        <v>58</v>
      </c>
      <c r="AA53" s="199" t="s">
        <v>110</v>
      </c>
      <c r="AB53" s="161" t="s">
        <v>333</v>
      </c>
      <c r="AC53" s="159" t="s">
        <v>334</v>
      </c>
    </row>
    <row r="54" spans="1:29" ht="19.5" customHeight="1">
      <c r="A54" s="207" t="s">
        <v>335</v>
      </c>
      <c r="B54" s="350" t="s">
        <v>336</v>
      </c>
      <c r="C54" s="210" t="s">
        <v>2</v>
      </c>
      <c r="D54" s="208" t="s">
        <v>72</v>
      </c>
      <c r="E54" s="322" t="s">
        <v>219</v>
      </c>
      <c r="F54" s="322" t="s">
        <v>337</v>
      </c>
      <c r="G54" s="218">
        <f t="shared" si="5"/>
        <v>0.66666666666666663</v>
      </c>
      <c r="H54" s="172">
        <f t="shared" si="6"/>
        <v>1</v>
      </c>
      <c r="I54" s="163" t="s">
        <v>57</v>
      </c>
      <c r="J54" s="169" t="s">
        <v>57</v>
      </c>
      <c r="K54" s="171" t="s">
        <v>57</v>
      </c>
      <c r="L54" s="175">
        <f t="shared" si="7"/>
        <v>0.66666666666666663</v>
      </c>
      <c r="M54" s="177" t="s">
        <v>57</v>
      </c>
      <c r="N54" s="157" t="s">
        <v>57</v>
      </c>
      <c r="O54" s="188" t="s">
        <v>4</v>
      </c>
      <c r="P54" s="180">
        <f t="shared" si="8"/>
        <v>1</v>
      </c>
      <c r="Q54" s="181" t="s">
        <v>57</v>
      </c>
      <c r="R54" s="156" t="s">
        <v>57</v>
      </c>
      <c r="S54" s="184" t="s">
        <v>57</v>
      </c>
      <c r="T54" s="186" t="s">
        <v>57</v>
      </c>
      <c r="U54" s="190">
        <f t="shared" si="9"/>
        <v>0</v>
      </c>
      <c r="V54" s="158" t="s">
        <v>4</v>
      </c>
      <c r="W54" s="193" t="s">
        <v>4</v>
      </c>
      <c r="X54" s="195" t="s">
        <v>4</v>
      </c>
      <c r="Y54" s="197" t="s">
        <v>4</v>
      </c>
      <c r="Z54" s="198" t="s">
        <v>87</v>
      </c>
      <c r="AA54" s="199" t="s">
        <v>110</v>
      </c>
      <c r="AB54" s="161" t="s">
        <v>338</v>
      </c>
      <c r="AC54" s="159" t="s">
        <v>339</v>
      </c>
    </row>
    <row r="55" spans="1:29" ht="19.5" customHeight="1">
      <c r="A55" s="209" t="s">
        <v>340</v>
      </c>
      <c r="B55" s="410" t="s">
        <v>341</v>
      </c>
      <c r="C55" s="208" t="s">
        <v>64</v>
      </c>
      <c r="D55" s="208" t="s">
        <v>72</v>
      </c>
      <c r="E55" s="322" t="s">
        <v>235</v>
      </c>
      <c r="F55" s="322" t="s">
        <v>342</v>
      </c>
      <c r="G55" s="218">
        <f t="shared" si="5"/>
        <v>0.66666666666666663</v>
      </c>
      <c r="H55" s="172">
        <f t="shared" si="6"/>
        <v>1</v>
      </c>
      <c r="I55" s="164" t="s">
        <v>57</v>
      </c>
      <c r="J55" s="169" t="s">
        <v>57</v>
      </c>
      <c r="K55" s="171" t="s">
        <v>57</v>
      </c>
      <c r="L55" s="175">
        <f t="shared" si="7"/>
        <v>0.66666666666666663</v>
      </c>
      <c r="M55" s="177" t="s">
        <v>57</v>
      </c>
      <c r="N55" s="157" t="s">
        <v>57</v>
      </c>
      <c r="O55" s="188" t="s">
        <v>4</v>
      </c>
      <c r="P55" s="180">
        <f t="shared" si="8"/>
        <v>1</v>
      </c>
      <c r="Q55" s="181" t="s">
        <v>57</v>
      </c>
      <c r="R55" s="156" t="s">
        <v>57</v>
      </c>
      <c r="S55" s="184" t="s">
        <v>57</v>
      </c>
      <c r="T55" s="186" t="s">
        <v>57</v>
      </c>
      <c r="U55" s="190">
        <f t="shared" si="9"/>
        <v>0</v>
      </c>
      <c r="V55" s="158" t="s">
        <v>4</v>
      </c>
      <c r="W55" s="193" t="s">
        <v>4</v>
      </c>
      <c r="X55" s="195" t="s">
        <v>4</v>
      </c>
      <c r="Y55" s="197" t="s">
        <v>4</v>
      </c>
      <c r="Z55" s="198" t="s">
        <v>66</v>
      </c>
      <c r="AA55" s="199" t="s">
        <v>59</v>
      </c>
      <c r="AB55" s="161" t="s">
        <v>343</v>
      </c>
      <c r="AC55" s="159" t="s">
        <v>344</v>
      </c>
    </row>
    <row r="56" spans="1:29" ht="19.5" customHeight="1">
      <c r="A56" s="207" t="s">
        <v>345</v>
      </c>
      <c r="B56" s="350" t="s">
        <v>346</v>
      </c>
      <c r="C56" s="210" t="s">
        <v>84</v>
      </c>
      <c r="D56" s="208" t="s">
        <v>72</v>
      </c>
      <c r="E56" s="322" t="s">
        <v>219</v>
      </c>
      <c r="F56" s="322" t="s">
        <v>347</v>
      </c>
      <c r="G56" s="218">
        <f t="shared" si="5"/>
        <v>0.72916666666666663</v>
      </c>
      <c r="H56" s="172">
        <f t="shared" si="6"/>
        <v>1</v>
      </c>
      <c r="I56" s="163" t="s">
        <v>57</v>
      </c>
      <c r="J56" s="169" t="s">
        <v>57</v>
      </c>
      <c r="K56" s="171" t="s">
        <v>57</v>
      </c>
      <c r="L56" s="175">
        <f t="shared" si="7"/>
        <v>0.66666666666666663</v>
      </c>
      <c r="M56" s="177" t="s">
        <v>57</v>
      </c>
      <c r="N56" s="157" t="s">
        <v>57</v>
      </c>
      <c r="O56" s="188" t="s">
        <v>4</v>
      </c>
      <c r="P56" s="180">
        <f t="shared" si="8"/>
        <v>1</v>
      </c>
      <c r="Q56" s="181" t="s">
        <v>57</v>
      </c>
      <c r="R56" s="156" t="s">
        <v>57</v>
      </c>
      <c r="S56" s="184" t="s">
        <v>57</v>
      </c>
      <c r="T56" s="186" t="s">
        <v>57</v>
      </c>
      <c r="U56" s="190">
        <f t="shared" si="9"/>
        <v>0.25</v>
      </c>
      <c r="V56" s="158" t="s">
        <v>57</v>
      </c>
      <c r="W56" s="193" t="s">
        <v>4</v>
      </c>
      <c r="X56" s="195" t="s">
        <v>4</v>
      </c>
      <c r="Y56" s="197" t="s">
        <v>4</v>
      </c>
      <c r="Z56" s="198" t="s">
        <v>58</v>
      </c>
      <c r="AA56" s="200" t="s">
        <v>59</v>
      </c>
      <c r="AB56" s="161" t="s">
        <v>348</v>
      </c>
      <c r="AC56" s="159" t="s">
        <v>349</v>
      </c>
    </row>
    <row r="57" spans="1:29" ht="19.5" customHeight="1">
      <c r="A57" s="209" t="s">
        <v>350</v>
      </c>
      <c r="B57" s="350" t="s">
        <v>351</v>
      </c>
      <c r="C57" s="210" t="s">
        <v>2</v>
      </c>
      <c r="D57" s="208" t="s">
        <v>54</v>
      </c>
      <c r="E57" s="322" t="s">
        <v>219</v>
      </c>
      <c r="F57" s="322" t="s">
        <v>352</v>
      </c>
      <c r="G57" s="218">
        <f t="shared" si="5"/>
        <v>0.72916666666666663</v>
      </c>
      <c r="H57" s="172">
        <f t="shared" si="6"/>
        <v>1</v>
      </c>
      <c r="I57" s="164" t="s">
        <v>57</v>
      </c>
      <c r="J57" s="169" t="s">
        <v>57</v>
      </c>
      <c r="K57" s="171" t="s">
        <v>57</v>
      </c>
      <c r="L57" s="175">
        <f t="shared" si="7"/>
        <v>0.66666666666666663</v>
      </c>
      <c r="M57" s="177" t="s">
        <v>57</v>
      </c>
      <c r="N57" s="157" t="s">
        <v>57</v>
      </c>
      <c r="O57" s="188" t="s">
        <v>4</v>
      </c>
      <c r="P57" s="180">
        <f t="shared" si="8"/>
        <v>0.75</v>
      </c>
      <c r="Q57" s="181" t="s">
        <v>57</v>
      </c>
      <c r="R57" s="156" t="s">
        <v>4</v>
      </c>
      <c r="S57" s="184" t="s">
        <v>57</v>
      </c>
      <c r="T57" s="186" t="s">
        <v>57</v>
      </c>
      <c r="U57" s="190">
        <f t="shared" si="9"/>
        <v>0.5</v>
      </c>
      <c r="V57" s="158" t="s">
        <v>57</v>
      </c>
      <c r="W57" s="193" t="s">
        <v>4</v>
      </c>
      <c r="X57" s="195" t="s">
        <v>57</v>
      </c>
      <c r="Y57" s="197" t="s">
        <v>4</v>
      </c>
      <c r="Z57" s="198" t="s">
        <v>87</v>
      </c>
      <c r="AA57" s="199" t="s">
        <v>110</v>
      </c>
      <c r="AB57" s="161" t="s">
        <v>353</v>
      </c>
      <c r="AC57" s="159" t="s">
        <v>354</v>
      </c>
    </row>
    <row r="58" spans="1:29" ht="19.5" customHeight="1">
      <c r="A58" s="207" t="s">
        <v>355</v>
      </c>
      <c r="B58" s="350" t="s">
        <v>356</v>
      </c>
      <c r="C58" s="208" t="s">
        <v>53</v>
      </c>
      <c r="D58" s="208" t="s">
        <v>54</v>
      </c>
      <c r="E58" s="322" t="s">
        <v>219</v>
      </c>
      <c r="F58" s="322" t="s">
        <v>357</v>
      </c>
      <c r="G58" s="218">
        <f t="shared" si="5"/>
        <v>0.72916666666666663</v>
      </c>
      <c r="H58" s="172">
        <f t="shared" si="6"/>
        <v>1</v>
      </c>
      <c r="I58" s="163" t="s">
        <v>57</v>
      </c>
      <c r="J58" s="169" t="s">
        <v>57</v>
      </c>
      <c r="K58" s="171" t="s">
        <v>57</v>
      </c>
      <c r="L58" s="175">
        <f t="shared" si="7"/>
        <v>0.66666666666666663</v>
      </c>
      <c r="M58" s="177" t="s">
        <v>57</v>
      </c>
      <c r="N58" s="157" t="s">
        <v>57</v>
      </c>
      <c r="O58" s="188" t="s">
        <v>4</v>
      </c>
      <c r="P58" s="180">
        <f t="shared" si="8"/>
        <v>0.75</v>
      </c>
      <c r="Q58" s="181" t="s">
        <v>57</v>
      </c>
      <c r="R58" s="156" t="s">
        <v>57</v>
      </c>
      <c r="S58" s="184" t="s">
        <v>4</v>
      </c>
      <c r="T58" s="186" t="s">
        <v>57</v>
      </c>
      <c r="U58" s="190">
        <f t="shared" si="9"/>
        <v>0.5</v>
      </c>
      <c r="V58" s="158" t="s">
        <v>57</v>
      </c>
      <c r="W58" s="193" t="s">
        <v>4</v>
      </c>
      <c r="X58" s="195" t="s">
        <v>57</v>
      </c>
      <c r="Y58" s="197" t="s">
        <v>4</v>
      </c>
      <c r="Z58" s="198" t="s">
        <v>58</v>
      </c>
      <c r="AA58" s="199" t="s">
        <v>110</v>
      </c>
      <c r="AB58" s="161" t="s">
        <v>358</v>
      </c>
      <c r="AC58" s="159" t="s">
        <v>359</v>
      </c>
    </row>
    <row r="59" spans="1:29" ht="19.5" customHeight="1">
      <c r="A59" s="207" t="s">
        <v>360</v>
      </c>
      <c r="B59" s="350" t="s">
        <v>361</v>
      </c>
      <c r="C59" s="208" t="s">
        <v>53</v>
      </c>
      <c r="D59" s="208" t="s">
        <v>54</v>
      </c>
      <c r="E59" s="322" t="s">
        <v>219</v>
      </c>
      <c r="F59" s="322" t="s">
        <v>362</v>
      </c>
      <c r="G59" s="218">
        <f t="shared" si="5"/>
        <v>0.75</v>
      </c>
      <c r="H59" s="172">
        <f t="shared" si="6"/>
        <v>1</v>
      </c>
      <c r="I59" s="163" t="s">
        <v>57</v>
      </c>
      <c r="J59" s="169" t="s">
        <v>57</v>
      </c>
      <c r="K59" s="171" t="s">
        <v>57</v>
      </c>
      <c r="L59" s="175">
        <f t="shared" si="7"/>
        <v>1</v>
      </c>
      <c r="M59" s="177" t="s">
        <v>57</v>
      </c>
      <c r="N59" s="157" t="s">
        <v>57</v>
      </c>
      <c r="O59" s="188" t="s">
        <v>57</v>
      </c>
      <c r="P59" s="180">
        <f t="shared" si="8"/>
        <v>0.5</v>
      </c>
      <c r="Q59" s="181" t="s">
        <v>57</v>
      </c>
      <c r="R59" s="156" t="s">
        <v>57</v>
      </c>
      <c r="S59" s="184" t="s">
        <v>4</v>
      </c>
      <c r="T59" s="186" t="s">
        <v>4</v>
      </c>
      <c r="U59" s="190">
        <f t="shared" si="9"/>
        <v>0.5</v>
      </c>
      <c r="V59" s="158" t="s">
        <v>4</v>
      </c>
      <c r="W59" s="193" t="s">
        <v>57</v>
      </c>
      <c r="X59" s="195" t="s">
        <v>4</v>
      </c>
      <c r="Y59" s="197" t="s">
        <v>57</v>
      </c>
      <c r="Z59" s="198" t="s">
        <v>363</v>
      </c>
      <c r="AA59" s="200" t="s">
        <v>59</v>
      </c>
      <c r="AB59" s="161" t="s">
        <v>364</v>
      </c>
      <c r="AC59" s="159" t="s">
        <v>365</v>
      </c>
    </row>
    <row r="60" spans="1:29" ht="19.5" customHeight="1">
      <c r="A60" s="207" t="s">
        <v>366</v>
      </c>
      <c r="B60" s="350" t="s">
        <v>367</v>
      </c>
      <c r="C60" s="210" t="s">
        <v>129</v>
      </c>
      <c r="D60" s="208" t="s">
        <v>54</v>
      </c>
      <c r="E60" s="322" t="s">
        <v>219</v>
      </c>
      <c r="F60" s="322" t="s">
        <v>368</v>
      </c>
      <c r="G60" s="218">
        <f t="shared" si="5"/>
        <v>0.79166666666666663</v>
      </c>
      <c r="H60" s="172">
        <f t="shared" si="6"/>
        <v>1</v>
      </c>
      <c r="I60" s="163" t="s">
        <v>57</v>
      </c>
      <c r="J60" s="169" t="s">
        <v>57</v>
      </c>
      <c r="K60" s="171" t="s">
        <v>57</v>
      </c>
      <c r="L60" s="175">
        <f t="shared" si="7"/>
        <v>0.66666666666666663</v>
      </c>
      <c r="M60" s="177" t="s">
        <v>57</v>
      </c>
      <c r="N60" s="157" t="s">
        <v>57</v>
      </c>
      <c r="O60" s="188" t="s">
        <v>4</v>
      </c>
      <c r="P60" s="180">
        <f t="shared" si="8"/>
        <v>0.75</v>
      </c>
      <c r="Q60" s="181" t="s">
        <v>57</v>
      </c>
      <c r="R60" s="156" t="s">
        <v>57</v>
      </c>
      <c r="S60" s="184" t="s">
        <v>4</v>
      </c>
      <c r="T60" s="186" t="s">
        <v>57</v>
      </c>
      <c r="U60" s="190">
        <f t="shared" si="9"/>
        <v>0.75</v>
      </c>
      <c r="V60" s="158" t="s">
        <v>57</v>
      </c>
      <c r="W60" s="193" t="s">
        <v>57</v>
      </c>
      <c r="X60" s="195" t="s">
        <v>57</v>
      </c>
      <c r="Y60" s="197" t="s">
        <v>4</v>
      </c>
      <c r="Z60" s="198" t="s">
        <v>363</v>
      </c>
      <c r="AA60" s="201" t="s">
        <v>67</v>
      </c>
      <c r="AB60" s="161" t="s">
        <v>369</v>
      </c>
      <c r="AC60" s="159" t="s">
        <v>370</v>
      </c>
    </row>
    <row r="61" spans="1:29" ht="15">
      <c r="A61" s="207" t="s">
        <v>371</v>
      </c>
      <c r="B61" s="350" t="s">
        <v>372</v>
      </c>
      <c r="C61" s="208" t="s">
        <v>64</v>
      </c>
      <c r="D61" s="208" t="s">
        <v>54</v>
      </c>
      <c r="E61" s="322" t="s">
        <v>219</v>
      </c>
      <c r="F61" s="322" t="s">
        <v>373</v>
      </c>
      <c r="G61" s="218">
        <f t="shared" si="5"/>
        <v>0.79166666666666663</v>
      </c>
      <c r="H61" s="172">
        <f t="shared" si="6"/>
        <v>1</v>
      </c>
      <c r="I61" s="163" t="s">
        <v>57</v>
      </c>
      <c r="J61" s="169" t="s">
        <v>57</v>
      </c>
      <c r="K61" s="171" t="s">
        <v>57</v>
      </c>
      <c r="L61" s="175">
        <f t="shared" si="7"/>
        <v>0.66666666666666663</v>
      </c>
      <c r="M61" s="177" t="s">
        <v>57</v>
      </c>
      <c r="N61" s="157" t="s">
        <v>57</v>
      </c>
      <c r="O61" s="188" t="s">
        <v>4</v>
      </c>
      <c r="P61" s="180">
        <f t="shared" si="8"/>
        <v>0.75</v>
      </c>
      <c r="Q61" s="181" t="s">
        <v>57</v>
      </c>
      <c r="R61" s="156" t="s">
        <v>57</v>
      </c>
      <c r="S61" s="184" t="s">
        <v>4</v>
      </c>
      <c r="T61" s="186" t="s">
        <v>57</v>
      </c>
      <c r="U61" s="190">
        <f t="shared" si="9"/>
        <v>0.75</v>
      </c>
      <c r="V61" s="158" t="s">
        <v>57</v>
      </c>
      <c r="W61" s="193" t="s">
        <v>57</v>
      </c>
      <c r="X61" s="195" t="s">
        <v>57</v>
      </c>
      <c r="Y61" s="197" t="s">
        <v>4</v>
      </c>
      <c r="Z61" s="198" t="s">
        <v>178</v>
      </c>
      <c r="AA61" s="199" t="s">
        <v>110</v>
      </c>
      <c r="AB61" s="161" t="s">
        <v>374</v>
      </c>
      <c r="AC61" s="159" t="s">
        <v>375</v>
      </c>
    </row>
    <row r="62" spans="1:29" ht="19.5" customHeight="1">
      <c r="A62" s="209" t="s">
        <v>376</v>
      </c>
      <c r="B62" s="350" t="s">
        <v>377</v>
      </c>
      <c r="C62" s="208" t="s">
        <v>64</v>
      </c>
      <c r="D62" s="208" t="s">
        <v>54</v>
      </c>
      <c r="E62" s="322" t="s">
        <v>219</v>
      </c>
      <c r="F62" s="322" t="s">
        <v>378</v>
      </c>
      <c r="G62" s="218">
        <f t="shared" si="5"/>
        <v>0.79166666666666663</v>
      </c>
      <c r="H62" s="172">
        <f t="shared" si="6"/>
        <v>1</v>
      </c>
      <c r="I62" s="164" t="s">
        <v>57</v>
      </c>
      <c r="J62" s="169" t="s">
        <v>57</v>
      </c>
      <c r="K62" s="171" t="s">
        <v>57</v>
      </c>
      <c r="L62" s="175">
        <f t="shared" si="7"/>
        <v>0.66666666666666663</v>
      </c>
      <c r="M62" s="177" t="s">
        <v>57</v>
      </c>
      <c r="N62" s="157" t="s">
        <v>57</v>
      </c>
      <c r="O62" s="188" t="s">
        <v>4</v>
      </c>
      <c r="P62" s="180">
        <f t="shared" si="8"/>
        <v>1</v>
      </c>
      <c r="Q62" s="181" t="s">
        <v>57</v>
      </c>
      <c r="R62" s="156" t="s">
        <v>57</v>
      </c>
      <c r="S62" s="184" t="s">
        <v>57</v>
      </c>
      <c r="T62" s="186" t="s">
        <v>57</v>
      </c>
      <c r="U62" s="190">
        <f t="shared" si="9"/>
        <v>0.5</v>
      </c>
      <c r="V62" s="158" t="s">
        <v>57</v>
      </c>
      <c r="W62" s="193" t="s">
        <v>4</v>
      </c>
      <c r="X62" s="195" t="s">
        <v>57</v>
      </c>
      <c r="Y62" s="197" t="s">
        <v>4</v>
      </c>
      <c r="Z62" s="198" t="s">
        <v>87</v>
      </c>
      <c r="AA62" s="199" t="s">
        <v>110</v>
      </c>
      <c r="AB62" s="161" t="s">
        <v>379</v>
      </c>
      <c r="AC62" s="159" t="s">
        <v>380</v>
      </c>
    </row>
    <row r="63" spans="1:29" ht="19.5" customHeight="1">
      <c r="A63" s="207" t="s">
        <v>381</v>
      </c>
      <c r="B63" s="350" t="s">
        <v>382</v>
      </c>
      <c r="C63" s="208" t="s">
        <v>64</v>
      </c>
      <c r="D63" s="208" t="s">
        <v>54</v>
      </c>
      <c r="E63" s="322" t="s">
        <v>219</v>
      </c>
      <c r="F63" s="322" t="s">
        <v>383</v>
      </c>
      <c r="G63" s="218">
        <f t="shared" ref="G63:G94" si="10">AVERAGE(H63,L63,P63,U63)</f>
        <v>0.79166666666666663</v>
      </c>
      <c r="H63" s="172">
        <f t="shared" ref="H63:H94" si="11">COUNTIF(I63:K63,"Y") / COUNTA(I63:K63)</f>
        <v>1</v>
      </c>
      <c r="I63" s="163" t="s">
        <v>57</v>
      </c>
      <c r="J63" s="169" t="s">
        <v>57</v>
      </c>
      <c r="K63" s="171" t="s">
        <v>57</v>
      </c>
      <c r="L63" s="175">
        <f t="shared" ref="L63:L94" si="12">COUNTIF(M63:O63,"Y") / COUNTA(M63:O63)</f>
        <v>0.66666666666666663</v>
      </c>
      <c r="M63" s="177" t="s">
        <v>57</v>
      </c>
      <c r="N63" s="157" t="s">
        <v>57</v>
      </c>
      <c r="O63" s="188" t="s">
        <v>4</v>
      </c>
      <c r="P63" s="180">
        <f t="shared" ref="P63:P94" si="13">COUNTIF(Q63:T63,"Y") / COUNTA(Q63:T63)</f>
        <v>1</v>
      </c>
      <c r="Q63" s="181" t="s">
        <v>57</v>
      </c>
      <c r="R63" s="156" t="s">
        <v>57</v>
      </c>
      <c r="S63" s="184" t="s">
        <v>57</v>
      </c>
      <c r="T63" s="186" t="s">
        <v>57</v>
      </c>
      <c r="U63" s="190">
        <f t="shared" ref="U63:U94" si="14">COUNTIF(V63:Y63,"Y") / COUNTA(V63:Y63)</f>
        <v>0.5</v>
      </c>
      <c r="V63" s="158" t="s">
        <v>57</v>
      </c>
      <c r="W63" s="193" t="s">
        <v>4</v>
      </c>
      <c r="X63" s="195" t="s">
        <v>57</v>
      </c>
      <c r="Y63" s="197" t="s">
        <v>4</v>
      </c>
      <c r="Z63" s="198" t="s">
        <v>87</v>
      </c>
      <c r="AA63" s="199" t="s">
        <v>110</v>
      </c>
      <c r="AB63" s="161" t="s">
        <v>384</v>
      </c>
      <c r="AC63" s="159" t="s">
        <v>385</v>
      </c>
    </row>
    <row r="64" spans="1:29" ht="19.5" customHeight="1">
      <c r="A64" s="209" t="s">
        <v>386</v>
      </c>
      <c r="B64" s="350" t="s">
        <v>387</v>
      </c>
      <c r="C64" s="210" t="s">
        <v>53</v>
      </c>
      <c r="D64" s="208" t="s">
        <v>72</v>
      </c>
      <c r="E64" s="322" t="s">
        <v>219</v>
      </c>
      <c r="F64" s="322" t="s">
        <v>388</v>
      </c>
      <c r="G64" s="218">
        <f t="shared" si="10"/>
        <v>0.8125</v>
      </c>
      <c r="H64" s="172">
        <f t="shared" si="11"/>
        <v>1</v>
      </c>
      <c r="I64" s="164" t="s">
        <v>57</v>
      </c>
      <c r="J64" s="169" t="s">
        <v>57</v>
      </c>
      <c r="K64" s="171" t="s">
        <v>57</v>
      </c>
      <c r="L64" s="175">
        <f t="shared" si="12"/>
        <v>1</v>
      </c>
      <c r="M64" s="177" t="s">
        <v>57</v>
      </c>
      <c r="N64" s="157" t="s">
        <v>57</v>
      </c>
      <c r="O64" s="188" t="s">
        <v>57</v>
      </c>
      <c r="P64" s="180">
        <f t="shared" si="13"/>
        <v>0.75</v>
      </c>
      <c r="Q64" s="181" t="s">
        <v>57</v>
      </c>
      <c r="R64" s="156" t="s">
        <v>57</v>
      </c>
      <c r="S64" s="184" t="s">
        <v>57</v>
      </c>
      <c r="T64" s="186" t="s">
        <v>4</v>
      </c>
      <c r="U64" s="190">
        <f t="shared" si="14"/>
        <v>0.5</v>
      </c>
      <c r="V64" s="158" t="s">
        <v>57</v>
      </c>
      <c r="W64" s="193" t="s">
        <v>4</v>
      </c>
      <c r="X64" s="195" t="s">
        <v>57</v>
      </c>
      <c r="Y64" s="197" t="s">
        <v>4</v>
      </c>
      <c r="Z64" s="198" t="s">
        <v>87</v>
      </c>
      <c r="AA64" s="199" t="s">
        <v>110</v>
      </c>
      <c r="AB64" s="161" t="s">
        <v>389</v>
      </c>
      <c r="AC64" s="159" t="s">
        <v>390</v>
      </c>
    </row>
    <row r="65" spans="1:29" ht="19.5" customHeight="1">
      <c r="A65" s="209" t="s">
        <v>391</v>
      </c>
      <c r="B65" s="350" t="s">
        <v>392</v>
      </c>
      <c r="C65" s="208" t="s">
        <v>64</v>
      </c>
      <c r="D65" s="208" t="s">
        <v>54</v>
      </c>
      <c r="E65" s="322" t="s">
        <v>219</v>
      </c>
      <c r="F65" s="322" t="s">
        <v>393</v>
      </c>
      <c r="G65" s="218">
        <f t="shared" si="10"/>
        <v>0.85416666666666663</v>
      </c>
      <c r="H65" s="172">
        <f t="shared" si="11"/>
        <v>0.66666666666666663</v>
      </c>
      <c r="I65" s="164" t="s">
        <v>57</v>
      </c>
      <c r="J65" s="169" t="s">
        <v>4</v>
      </c>
      <c r="K65" s="171" t="s">
        <v>57</v>
      </c>
      <c r="L65" s="175">
        <f t="shared" si="12"/>
        <v>1</v>
      </c>
      <c r="M65" s="177" t="s">
        <v>57</v>
      </c>
      <c r="N65" s="157" t="s">
        <v>57</v>
      </c>
      <c r="O65" s="188" t="s">
        <v>57</v>
      </c>
      <c r="P65" s="180">
        <f t="shared" si="13"/>
        <v>1</v>
      </c>
      <c r="Q65" s="181" t="s">
        <v>57</v>
      </c>
      <c r="R65" s="156" t="s">
        <v>57</v>
      </c>
      <c r="S65" s="184" t="s">
        <v>57</v>
      </c>
      <c r="T65" s="186" t="s">
        <v>57</v>
      </c>
      <c r="U65" s="190">
        <f t="shared" si="14"/>
        <v>0.75</v>
      </c>
      <c r="V65" s="158" t="s">
        <v>57</v>
      </c>
      <c r="W65" s="193" t="s">
        <v>57</v>
      </c>
      <c r="X65" s="195" t="s">
        <v>57</v>
      </c>
      <c r="Y65" s="197" t="s">
        <v>4</v>
      </c>
      <c r="Z65" s="198" t="s">
        <v>394</v>
      </c>
      <c r="AA65" s="199" t="s">
        <v>395</v>
      </c>
      <c r="AB65" s="161" t="s">
        <v>396</v>
      </c>
      <c r="AC65" s="159" t="s">
        <v>397</v>
      </c>
    </row>
    <row r="66" spans="1:29" ht="19.5" customHeight="1">
      <c r="A66" s="209" t="s">
        <v>398</v>
      </c>
      <c r="B66" s="350" t="s">
        <v>399</v>
      </c>
      <c r="C66" s="208" t="s">
        <v>64</v>
      </c>
      <c r="D66" s="208" t="s">
        <v>54</v>
      </c>
      <c r="E66" s="322" t="s">
        <v>219</v>
      </c>
      <c r="F66" s="322" t="s">
        <v>400</v>
      </c>
      <c r="G66" s="218">
        <f t="shared" si="10"/>
        <v>0.85416666666666663</v>
      </c>
      <c r="H66" s="172">
        <f t="shared" si="11"/>
        <v>0.66666666666666663</v>
      </c>
      <c r="I66" s="164" t="s">
        <v>57</v>
      </c>
      <c r="J66" s="169" t="s">
        <v>4</v>
      </c>
      <c r="K66" s="171" t="s">
        <v>57</v>
      </c>
      <c r="L66" s="175">
        <f t="shared" si="12"/>
        <v>1</v>
      </c>
      <c r="M66" s="177" t="s">
        <v>57</v>
      </c>
      <c r="N66" s="157" t="s">
        <v>57</v>
      </c>
      <c r="O66" s="188" t="s">
        <v>57</v>
      </c>
      <c r="P66" s="180">
        <f t="shared" si="13"/>
        <v>1</v>
      </c>
      <c r="Q66" s="181" t="s">
        <v>57</v>
      </c>
      <c r="R66" s="156" t="s">
        <v>57</v>
      </c>
      <c r="S66" s="184" t="s">
        <v>57</v>
      </c>
      <c r="T66" s="186" t="s">
        <v>57</v>
      </c>
      <c r="U66" s="190">
        <f t="shared" si="14"/>
        <v>0.75</v>
      </c>
      <c r="V66" s="158" t="s">
        <v>57</v>
      </c>
      <c r="W66" s="193" t="s">
        <v>57</v>
      </c>
      <c r="X66" s="195" t="s">
        <v>57</v>
      </c>
      <c r="Y66" s="197" t="s">
        <v>4</v>
      </c>
      <c r="Z66" s="198" t="s">
        <v>178</v>
      </c>
      <c r="AA66" s="200" t="s">
        <v>67</v>
      </c>
      <c r="AB66" s="161" t="s">
        <v>401</v>
      </c>
      <c r="AC66" s="159" t="s">
        <v>402</v>
      </c>
    </row>
    <row r="67" spans="1:29" ht="19.5" customHeight="1">
      <c r="A67" s="207" t="s">
        <v>403</v>
      </c>
      <c r="B67" s="350" t="s">
        <v>404</v>
      </c>
      <c r="C67" s="355" t="s">
        <v>64</v>
      </c>
      <c r="D67" s="208" t="s">
        <v>54</v>
      </c>
      <c r="E67" s="322" t="s">
        <v>219</v>
      </c>
      <c r="F67" s="322" t="s">
        <v>405</v>
      </c>
      <c r="G67" s="218">
        <f t="shared" si="10"/>
        <v>0.875</v>
      </c>
      <c r="H67" s="172">
        <f t="shared" si="11"/>
        <v>1</v>
      </c>
      <c r="I67" s="163" t="s">
        <v>57</v>
      </c>
      <c r="J67" s="169" t="s">
        <v>57</v>
      </c>
      <c r="K67" s="171" t="s">
        <v>57</v>
      </c>
      <c r="L67" s="175">
        <f t="shared" si="12"/>
        <v>1</v>
      </c>
      <c r="M67" s="177" t="s">
        <v>57</v>
      </c>
      <c r="N67" s="157" t="s">
        <v>57</v>
      </c>
      <c r="O67" s="188" t="s">
        <v>57</v>
      </c>
      <c r="P67" s="180">
        <f t="shared" si="13"/>
        <v>1</v>
      </c>
      <c r="Q67" s="181" t="s">
        <v>57</v>
      </c>
      <c r="R67" s="156" t="s">
        <v>57</v>
      </c>
      <c r="S67" s="184" t="s">
        <v>57</v>
      </c>
      <c r="T67" s="186" t="s">
        <v>57</v>
      </c>
      <c r="U67" s="190">
        <f t="shared" si="14"/>
        <v>0.5</v>
      </c>
      <c r="V67" s="158" t="s">
        <v>57</v>
      </c>
      <c r="W67" s="193" t="s">
        <v>4</v>
      </c>
      <c r="X67" s="195" t="s">
        <v>57</v>
      </c>
      <c r="Y67" s="197" t="s">
        <v>4</v>
      </c>
      <c r="Z67" s="198" t="s">
        <v>58</v>
      </c>
      <c r="AA67" s="199" t="s">
        <v>110</v>
      </c>
      <c r="AB67" s="161" t="s">
        <v>406</v>
      </c>
      <c r="AC67" s="159" t="s">
        <v>407</v>
      </c>
    </row>
    <row r="68" spans="1:29" ht="19.5" customHeight="1">
      <c r="A68" s="209" t="s">
        <v>408</v>
      </c>
      <c r="B68" s="350" t="s">
        <v>409</v>
      </c>
      <c r="C68" s="208" t="s">
        <v>64</v>
      </c>
      <c r="D68" s="208" t="s">
        <v>72</v>
      </c>
      <c r="E68" s="322" t="s">
        <v>219</v>
      </c>
      <c r="F68" s="322" t="s">
        <v>410</v>
      </c>
      <c r="G68" s="218">
        <f t="shared" si="10"/>
        <v>0.875</v>
      </c>
      <c r="H68" s="172">
        <f t="shared" si="11"/>
        <v>1</v>
      </c>
      <c r="I68" s="164" t="s">
        <v>57</v>
      </c>
      <c r="J68" s="169" t="s">
        <v>57</v>
      </c>
      <c r="K68" s="171" t="s">
        <v>57</v>
      </c>
      <c r="L68" s="175">
        <f t="shared" si="12"/>
        <v>1</v>
      </c>
      <c r="M68" s="177" t="s">
        <v>57</v>
      </c>
      <c r="N68" s="157" t="s">
        <v>57</v>
      </c>
      <c r="O68" s="188" t="s">
        <v>57</v>
      </c>
      <c r="P68" s="180">
        <f t="shared" si="13"/>
        <v>1</v>
      </c>
      <c r="Q68" s="181" t="s">
        <v>57</v>
      </c>
      <c r="R68" s="156" t="s">
        <v>57</v>
      </c>
      <c r="S68" s="184" t="s">
        <v>57</v>
      </c>
      <c r="T68" s="186" t="s">
        <v>57</v>
      </c>
      <c r="U68" s="190">
        <f t="shared" si="14"/>
        <v>0.5</v>
      </c>
      <c r="V68" s="158" t="s">
        <v>57</v>
      </c>
      <c r="W68" s="193" t="s">
        <v>4</v>
      </c>
      <c r="X68" s="195" t="s">
        <v>57</v>
      </c>
      <c r="Y68" s="197" t="s">
        <v>4</v>
      </c>
      <c r="Z68" s="198" t="s">
        <v>87</v>
      </c>
      <c r="AA68" s="199" t="s">
        <v>110</v>
      </c>
      <c r="AB68" s="161" t="s">
        <v>411</v>
      </c>
      <c r="AC68" s="159" t="s">
        <v>412</v>
      </c>
    </row>
    <row r="69" spans="1:29" s="83" customFormat="1" ht="19.5" customHeight="1">
      <c r="A69" s="207" t="s">
        <v>413</v>
      </c>
      <c r="B69" s="350" t="s">
        <v>414</v>
      </c>
      <c r="C69" s="208" t="s">
        <v>64</v>
      </c>
      <c r="D69" s="208" t="s">
        <v>54</v>
      </c>
      <c r="E69" s="322" t="s">
        <v>219</v>
      </c>
      <c r="F69" s="322" t="s">
        <v>415</v>
      </c>
      <c r="G69" s="218">
        <f t="shared" si="10"/>
        <v>0.875</v>
      </c>
      <c r="H69" s="172">
        <f t="shared" si="11"/>
        <v>1</v>
      </c>
      <c r="I69" s="163" t="s">
        <v>57</v>
      </c>
      <c r="J69" s="169" t="s">
        <v>57</v>
      </c>
      <c r="K69" s="171" t="s">
        <v>57</v>
      </c>
      <c r="L69" s="175">
        <f t="shared" si="12"/>
        <v>1</v>
      </c>
      <c r="M69" s="177" t="s">
        <v>57</v>
      </c>
      <c r="N69" s="157" t="s">
        <v>57</v>
      </c>
      <c r="O69" s="188" t="s">
        <v>57</v>
      </c>
      <c r="P69" s="180">
        <f t="shared" si="13"/>
        <v>1</v>
      </c>
      <c r="Q69" s="181" t="s">
        <v>57</v>
      </c>
      <c r="R69" s="156" t="s">
        <v>57</v>
      </c>
      <c r="S69" s="184" t="s">
        <v>57</v>
      </c>
      <c r="T69" s="186" t="s">
        <v>57</v>
      </c>
      <c r="U69" s="190">
        <f t="shared" si="14"/>
        <v>0.5</v>
      </c>
      <c r="V69" s="158" t="s">
        <v>57</v>
      </c>
      <c r="W69" s="193" t="s">
        <v>4</v>
      </c>
      <c r="X69" s="195" t="s">
        <v>57</v>
      </c>
      <c r="Y69" s="197" t="s">
        <v>4</v>
      </c>
      <c r="Z69" s="198" t="s">
        <v>87</v>
      </c>
      <c r="AA69" s="199" t="s">
        <v>110</v>
      </c>
      <c r="AB69" s="161" t="s">
        <v>416</v>
      </c>
      <c r="AC69" s="159" t="s">
        <v>417</v>
      </c>
    </row>
    <row r="70" spans="1:29" ht="19.5" customHeight="1">
      <c r="A70" s="207" t="s">
        <v>418</v>
      </c>
      <c r="B70" s="351" t="s">
        <v>419</v>
      </c>
      <c r="C70" s="208" t="s">
        <v>53</v>
      </c>
      <c r="D70" s="208" t="s">
        <v>72</v>
      </c>
      <c r="E70" s="322" t="s">
        <v>219</v>
      </c>
      <c r="F70" s="322" t="s">
        <v>420</v>
      </c>
      <c r="G70" s="218">
        <f t="shared" si="10"/>
        <v>0.875</v>
      </c>
      <c r="H70" s="172">
        <f t="shared" si="11"/>
        <v>1</v>
      </c>
      <c r="I70" s="163" t="s">
        <v>57</v>
      </c>
      <c r="J70" s="169" t="s">
        <v>57</v>
      </c>
      <c r="K70" s="171" t="s">
        <v>57</v>
      </c>
      <c r="L70" s="175">
        <f t="shared" si="12"/>
        <v>1</v>
      </c>
      <c r="M70" s="177" t="s">
        <v>57</v>
      </c>
      <c r="N70" s="157" t="s">
        <v>57</v>
      </c>
      <c r="O70" s="188" t="s">
        <v>57</v>
      </c>
      <c r="P70" s="180">
        <f t="shared" si="13"/>
        <v>1</v>
      </c>
      <c r="Q70" s="181" t="s">
        <v>57</v>
      </c>
      <c r="R70" s="156" t="s">
        <v>57</v>
      </c>
      <c r="S70" s="184" t="s">
        <v>57</v>
      </c>
      <c r="T70" s="186" t="s">
        <v>57</v>
      </c>
      <c r="U70" s="190">
        <f t="shared" si="14"/>
        <v>0.5</v>
      </c>
      <c r="V70" s="158" t="s">
        <v>57</v>
      </c>
      <c r="W70" s="193" t="s">
        <v>4</v>
      </c>
      <c r="X70" s="195" t="s">
        <v>57</v>
      </c>
      <c r="Y70" s="197" t="s">
        <v>4</v>
      </c>
      <c r="Z70" s="198" t="s">
        <v>87</v>
      </c>
      <c r="AA70" s="200" t="s">
        <v>110</v>
      </c>
      <c r="AB70" s="161" t="s">
        <v>421</v>
      </c>
      <c r="AC70" s="159" t="s">
        <v>422</v>
      </c>
    </row>
    <row r="71" spans="1:29" ht="19.5" customHeight="1">
      <c r="A71" s="209" t="s">
        <v>423</v>
      </c>
      <c r="B71" s="350" t="s">
        <v>424</v>
      </c>
      <c r="C71" s="208" t="s">
        <v>64</v>
      </c>
      <c r="D71" s="208" t="s">
        <v>72</v>
      </c>
      <c r="E71" s="322" t="s">
        <v>219</v>
      </c>
      <c r="F71" s="322" t="s">
        <v>425</v>
      </c>
      <c r="G71" s="218">
        <f t="shared" si="10"/>
        <v>0.875</v>
      </c>
      <c r="H71" s="172">
        <f t="shared" si="11"/>
        <v>1</v>
      </c>
      <c r="I71" s="164" t="s">
        <v>57</v>
      </c>
      <c r="J71" s="169" t="s">
        <v>57</v>
      </c>
      <c r="K71" s="171" t="s">
        <v>57</v>
      </c>
      <c r="L71" s="175">
        <f t="shared" si="12"/>
        <v>1</v>
      </c>
      <c r="M71" s="177" t="s">
        <v>57</v>
      </c>
      <c r="N71" s="157" t="s">
        <v>57</v>
      </c>
      <c r="O71" s="188" t="s">
        <v>57</v>
      </c>
      <c r="P71" s="180">
        <f t="shared" si="13"/>
        <v>1</v>
      </c>
      <c r="Q71" s="181" t="s">
        <v>57</v>
      </c>
      <c r="R71" s="156" t="s">
        <v>57</v>
      </c>
      <c r="S71" s="184" t="s">
        <v>57</v>
      </c>
      <c r="T71" s="186" t="s">
        <v>57</v>
      </c>
      <c r="U71" s="190">
        <f t="shared" si="14"/>
        <v>0.5</v>
      </c>
      <c r="V71" s="158" t="s">
        <v>57</v>
      </c>
      <c r="W71" s="193" t="s">
        <v>4</v>
      </c>
      <c r="X71" s="195" t="s">
        <v>57</v>
      </c>
      <c r="Y71" s="197" t="s">
        <v>4</v>
      </c>
      <c r="Z71" s="198" t="s">
        <v>87</v>
      </c>
      <c r="AA71" s="199" t="s">
        <v>110</v>
      </c>
      <c r="AB71" s="161" t="s">
        <v>426</v>
      </c>
      <c r="AC71" s="159" t="s">
        <v>427</v>
      </c>
    </row>
    <row r="72" spans="1:29" ht="19.5" customHeight="1">
      <c r="A72" s="207" t="s">
        <v>428</v>
      </c>
      <c r="B72" s="350" t="s">
        <v>429</v>
      </c>
      <c r="C72" s="208" t="s">
        <v>64</v>
      </c>
      <c r="D72" s="208" t="s">
        <v>72</v>
      </c>
      <c r="E72" s="322" t="s">
        <v>219</v>
      </c>
      <c r="F72" s="322" t="s">
        <v>430</v>
      </c>
      <c r="G72" s="218">
        <f t="shared" si="10"/>
        <v>0.875</v>
      </c>
      <c r="H72" s="172">
        <f t="shared" si="11"/>
        <v>1</v>
      </c>
      <c r="I72" s="163" t="s">
        <v>57</v>
      </c>
      <c r="J72" s="169" t="s">
        <v>57</v>
      </c>
      <c r="K72" s="171" t="s">
        <v>57</v>
      </c>
      <c r="L72" s="175">
        <f t="shared" si="12"/>
        <v>1</v>
      </c>
      <c r="M72" s="177" t="s">
        <v>57</v>
      </c>
      <c r="N72" s="157" t="s">
        <v>57</v>
      </c>
      <c r="O72" s="188" t="s">
        <v>57</v>
      </c>
      <c r="P72" s="180">
        <f t="shared" si="13"/>
        <v>1</v>
      </c>
      <c r="Q72" s="181" t="s">
        <v>57</v>
      </c>
      <c r="R72" s="156" t="s">
        <v>57</v>
      </c>
      <c r="S72" s="184" t="s">
        <v>57</v>
      </c>
      <c r="T72" s="186" t="s">
        <v>57</v>
      </c>
      <c r="U72" s="190">
        <f t="shared" si="14"/>
        <v>0.5</v>
      </c>
      <c r="V72" s="158" t="s">
        <v>57</v>
      </c>
      <c r="W72" s="193" t="s">
        <v>4</v>
      </c>
      <c r="X72" s="195" t="s">
        <v>57</v>
      </c>
      <c r="Y72" s="197" t="s">
        <v>4</v>
      </c>
      <c r="Z72" s="198" t="s">
        <v>87</v>
      </c>
      <c r="AA72" s="199" t="s">
        <v>110</v>
      </c>
      <c r="AB72" s="161" t="s">
        <v>431</v>
      </c>
      <c r="AC72" s="159" t="s">
        <v>432</v>
      </c>
    </row>
    <row r="73" spans="1:29" ht="19.5" customHeight="1">
      <c r="A73" s="207" t="s">
        <v>433</v>
      </c>
      <c r="B73" s="350" t="s">
        <v>434</v>
      </c>
      <c r="C73" s="208" t="s">
        <v>53</v>
      </c>
      <c r="D73" s="208" t="s">
        <v>54</v>
      </c>
      <c r="E73" s="322" t="s">
        <v>219</v>
      </c>
      <c r="F73" s="322" t="s">
        <v>435</v>
      </c>
      <c r="G73" s="218">
        <f t="shared" si="10"/>
        <v>0.875</v>
      </c>
      <c r="H73" s="172">
        <f t="shared" si="11"/>
        <v>1</v>
      </c>
      <c r="I73" s="163" t="s">
        <v>57</v>
      </c>
      <c r="J73" s="169" t="s">
        <v>57</v>
      </c>
      <c r="K73" s="171" t="s">
        <v>57</v>
      </c>
      <c r="L73" s="175">
        <f t="shared" si="12"/>
        <v>1</v>
      </c>
      <c r="M73" s="177" t="s">
        <v>57</v>
      </c>
      <c r="N73" s="157" t="s">
        <v>57</v>
      </c>
      <c r="O73" s="188" t="s">
        <v>57</v>
      </c>
      <c r="P73" s="180">
        <f t="shared" si="13"/>
        <v>0.75</v>
      </c>
      <c r="Q73" s="181" t="s">
        <v>57</v>
      </c>
      <c r="R73" s="156" t="s">
        <v>57</v>
      </c>
      <c r="S73" s="184" t="s">
        <v>4</v>
      </c>
      <c r="T73" s="186" t="s">
        <v>57</v>
      </c>
      <c r="U73" s="190">
        <f t="shared" si="14"/>
        <v>0.75</v>
      </c>
      <c r="V73" s="158" t="s">
        <v>57</v>
      </c>
      <c r="W73" s="193" t="s">
        <v>4</v>
      </c>
      <c r="X73" s="195" t="s">
        <v>57</v>
      </c>
      <c r="Y73" s="197" t="s">
        <v>57</v>
      </c>
      <c r="Z73" s="198" t="s">
        <v>58</v>
      </c>
      <c r="AA73" s="200" t="s">
        <v>59</v>
      </c>
      <c r="AB73" s="161" t="s">
        <v>436</v>
      </c>
      <c r="AC73" s="159" t="s">
        <v>437</v>
      </c>
    </row>
    <row r="74" spans="1:29" ht="19.5" customHeight="1">
      <c r="A74" s="207" t="s">
        <v>438</v>
      </c>
      <c r="B74" s="350" t="s">
        <v>439</v>
      </c>
      <c r="C74" s="208" t="s">
        <v>64</v>
      </c>
      <c r="D74" s="208" t="s">
        <v>72</v>
      </c>
      <c r="E74" s="322" t="s">
        <v>219</v>
      </c>
      <c r="F74" s="322" t="s">
        <v>440</v>
      </c>
      <c r="G74" s="218">
        <f t="shared" si="10"/>
        <v>0.91666666666666663</v>
      </c>
      <c r="H74" s="172">
        <f t="shared" si="11"/>
        <v>0.66666666666666663</v>
      </c>
      <c r="I74" s="163" t="s">
        <v>57</v>
      </c>
      <c r="J74" s="169" t="s">
        <v>4</v>
      </c>
      <c r="K74" s="171" t="s">
        <v>57</v>
      </c>
      <c r="L74" s="175">
        <f t="shared" si="12"/>
        <v>1</v>
      </c>
      <c r="M74" s="177" t="s">
        <v>57</v>
      </c>
      <c r="N74" s="157" t="s">
        <v>57</v>
      </c>
      <c r="O74" s="188" t="s">
        <v>57</v>
      </c>
      <c r="P74" s="180">
        <f t="shared" si="13"/>
        <v>1</v>
      </c>
      <c r="Q74" s="181" t="s">
        <v>57</v>
      </c>
      <c r="R74" s="156" t="s">
        <v>57</v>
      </c>
      <c r="S74" s="184" t="s">
        <v>57</v>
      </c>
      <c r="T74" s="186" t="s">
        <v>57</v>
      </c>
      <c r="U74" s="190">
        <f t="shared" si="14"/>
        <v>1</v>
      </c>
      <c r="V74" s="158" t="s">
        <v>57</v>
      </c>
      <c r="W74" s="193" t="s">
        <v>57</v>
      </c>
      <c r="X74" s="195" t="s">
        <v>57</v>
      </c>
      <c r="Y74" s="197" t="s">
        <v>57</v>
      </c>
      <c r="Z74" s="198" t="s">
        <v>394</v>
      </c>
      <c r="AA74" s="200" t="s">
        <v>395</v>
      </c>
      <c r="AB74" s="161" t="s">
        <v>441</v>
      </c>
      <c r="AC74" s="159" t="s">
        <v>442</v>
      </c>
    </row>
    <row r="75" spans="1:29" ht="19.5" customHeight="1">
      <c r="A75" s="209" t="s">
        <v>443</v>
      </c>
      <c r="B75" s="350" t="s">
        <v>444</v>
      </c>
      <c r="C75" s="210" t="s">
        <v>78</v>
      </c>
      <c r="D75" s="208" t="s">
        <v>54</v>
      </c>
      <c r="E75" s="322" t="s">
        <v>445</v>
      </c>
      <c r="F75" s="322" t="s">
        <v>446</v>
      </c>
      <c r="G75" s="218">
        <f t="shared" si="10"/>
        <v>0.875</v>
      </c>
      <c r="H75" s="172">
        <f t="shared" si="11"/>
        <v>1</v>
      </c>
      <c r="I75" s="164" t="s">
        <v>57</v>
      </c>
      <c r="J75" s="169" t="s">
        <v>57</v>
      </c>
      <c r="K75" s="171" t="s">
        <v>57</v>
      </c>
      <c r="L75" s="175">
        <f t="shared" si="12"/>
        <v>1</v>
      </c>
      <c r="M75" s="177" t="s">
        <v>57</v>
      </c>
      <c r="N75" s="157" t="s">
        <v>57</v>
      </c>
      <c r="O75" s="188" t="s">
        <v>57</v>
      </c>
      <c r="P75" s="180">
        <f t="shared" si="13"/>
        <v>1</v>
      </c>
      <c r="Q75" s="181" t="s">
        <v>57</v>
      </c>
      <c r="R75" s="156" t="s">
        <v>57</v>
      </c>
      <c r="S75" s="184" t="s">
        <v>57</v>
      </c>
      <c r="T75" s="186" t="s">
        <v>57</v>
      </c>
      <c r="U75" s="190">
        <f t="shared" si="14"/>
        <v>0.5</v>
      </c>
      <c r="V75" s="158" t="s">
        <v>57</v>
      </c>
      <c r="W75" s="193" t="s">
        <v>4</v>
      </c>
      <c r="X75" s="195" t="s">
        <v>57</v>
      </c>
      <c r="Y75" s="197" t="s">
        <v>4</v>
      </c>
      <c r="Z75" s="198" t="s">
        <v>178</v>
      </c>
      <c r="AA75" s="199" t="s">
        <v>110</v>
      </c>
      <c r="AB75" s="161" t="s">
        <v>447</v>
      </c>
      <c r="AC75" s="159" t="s">
        <v>448</v>
      </c>
    </row>
    <row r="76" spans="1:29" ht="19.5" customHeight="1">
      <c r="A76" s="209" t="s">
        <v>449</v>
      </c>
      <c r="B76" s="350" t="s">
        <v>450</v>
      </c>
      <c r="C76" s="210" t="s">
        <v>155</v>
      </c>
      <c r="D76" s="208" t="s">
        <v>54</v>
      </c>
      <c r="E76" s="322" t="s">
        <v>445</v>
      </c>
      <c r="F76" s="322" t="s">
        <v>451</v>
      </c>
      <c r="G76" s="218">
        <f t="shared" si="10"/>
        <v>0.22916666666666666</v>
      </c>
      <c r="H76" s="172">
        <f t="shared" si="11"/>
        <v>0.33333333333333331</v>
      </c>
      <c r="I76" s="164" t="s">
        <v>4</v>
      </c>
      <c r="J76" s="169" t="s">
        <v>4</v>
      </c>
      <c r="K76" s="171" t="s">
        <v>57</v>
      </c>
      <c r="L76" s="175">
        <f t="shared" si="12"/>
        <v>0.33333333333333331</v>
      </c>
      <c r="M76" s="177" t="s">
        <v>4</v>
      </c>
      <c r="N76" s="157" t="s">
        <v>57</v>
      </c>
      <c r="O76" s="188" t="s">
        <v>4</v>
      </c>
      <c r="P76" s="180">
        <f t="shared" si="13"/>
        <v>0</v>
      </c>
      <c r="Q76" s="181" t="s">
        <v>4</v>
      </c>
      <c r="R76" s="156" t="s">
        <v>4</v>
      </c>
      <c r="S76" s="184" t="s">
        <v>4</v>
      </c>
      <c r="T76" s="186" t="s">
        <v>4</v>
      </c>
      <c r="U76" s="190">
        <f t="shared" si="14"/>
        <v>0.25</v>
      </c>
      <c r="V76" s="158" t="s">
        <v>4</v>
      </c>
      <c r="W76" s="193" t="s">
        <v>4</v>
      </c>
      <c r="X76" s="195" t="s">
        <v>57</v>
      </c>
      <c r="Y76" s="197" t="s">
        <v>4</v>
      </c>
      <c r="Z76" s="198" t="s">
        <v>87</v>
      </c>
      <c r="AA76" s="199" t="s">
        <v>59</v>
      </c>
      <c r="AB76" s="160" t="s">
        <v>452</v>
      </c>
      <c r="AC76" s="159" t="s">
        <v>453</v>
      </c>
    </row>
    <row r="77" spans="1:29" ht="19.5" customHeight="1">
      <c r="A77" s="209" t="s">
        <v>454</v>
      </c>
      <c r="B77" s="350" t="s">
        <v>455</v>
      </c>
      <c r="C77" s="210" t="s">
        <v>456</v>
      </c>
      <c r="D77" s="208" t="s">
        <v>54</v>
      </c>
      <c r="E77" s="322" t="s">
        <v>445</v>
      </c>
      <c r="F77" s="322" t="s">
        <v>457</v>
      </c>
      <c r="G77" s="218">
        <f t="shared" si="10"/>
        <v>0.20833333333333331</v>
      </c>
      <c r="H77" s="172">
        <f t="shared" si="11"/>
        <v>0.33333333333333331</v>
      </c>
      <c r="I77" s="164" t="s">
        <v>4</v>
      </c>
      <c r="J77" s="169" t="s">
        <v>4</v>
      </c>
      <c r="K77" s="171" t="s">
        <v>57</v>
      </c>
      <c r="L77" s="175">
        <f t="shared" si="12"/>
        <v>0</v>
      </c>
      <c r="M77" s="177" t="s">
        <v>4</v>
      </c>
      <c r="N77" s="157" t="s">
        <v>4</v>
      </c>
      <c r="O77" s="188" t="s">
        <v>4</v>
      </c>
      <c r="P77" s="180">
        <f t="shared" si="13"/>
        <v>0</v>
      </c>
      <c r="Q77" s="181" t="s">
        <v>4</v>
      </c>
      <c r="R77" s="156" t="s">
        <v>4</v>
      </c>
      <c r="S77" s="184" t="s">
        <v>4</v>
      </c>
      <c r="T77" s="186"/>
      <c r="U77" s="190">
        <f t="shared" si="14"/>
        <v>0.5</v>
      </c>
      <c r="V77" s="158" t="s">
        <v>57</v>
      </c>
      <c r="W77" s="193" t="s">
        <v>4</v>
      </c>
      <c r="X77" s="195" t="s">
        <v>57</v>
      </c>
      <c r="Y77" s="197" t="s">
        <v>4</v>
      </c>
      <c r="Z77" s="198" t="s">
        <v>58</v>
      </c>
      <c r="AA77" s="199" t="s">
        <v>110</v>
      </c>
      <c r="AB77" s="161" t="s">
        <v>458</v>
      </c>
      <c r="AC77" s="159" t="s">
        <v>459</v>
      </c>
    </row>
    <row r="78" spans="1:29" ht="19.5" customHeight="1">
      <c r="A78" s="209" t="s">
        <v>460</v>
      </c>
      <c r="B78" s="350" t="s">
        <v>461</v>
      </c>
      <c r="C78" s="208" t="s">
        <v>64</v>
      </c>
      <c r="D78" s="208" t="s">
        <v>72</v>
      </c>
      <c r="E78" s="322" t="s">
        <v>445</v>
      </c>
      <c r="F78" s="322" t="s">
        <v>462</v>
      </c>
      <c r="G78" s="218">
        <f t="shared" si="10"/>
        <v>0.3125</v>
      </c>
      <c r="H78" s="172">
        <f t="shared" si="11"/>
        <v>0.33333333333333331</v>
      </c>
      <c r="I78" s="164" t="s">
        <v>4</v>
      </c>
      <c r="J78" s="169" t="s">
        <v>4</v>
      </c>
      <c r="K78" s="171" t="s">
        <v>57</v>
      </c>
      <c r="L78" s="175">
        <f t="shared" si="12"/>
        <v>0.66666666666666663</v>
      </c>
      <c r="M78" s="177" t="s">
        <v>57</v>
      </c>
      <c r="N78" s="157" t="s">
        <v>57</v>
      </c>
      <c r="O78" s="188" t="s">
        <v>4</v>
      </c>
      <c r="P78" s="180">
        <f t="shared" si="13"/>
        <v>0.25</v>
      </c>
      <c r="Q78" s="181" t="s">
        <v>4</v>
      </c>
      <c r="R78" s="156" t="s">
        <v>57</v>
      </c>
      <c r="S78" s="184" t="s">
        <v>4</v>
      </c>
      <c r="T78" s="186" t="s">
        <v>4</v>
      </c>
      <c r="U78" s="190">
        <f t="shared" si="14"/>
        <v>0</v>
      </c>
      <c r="V78" s="158" t="s">
        <v>4</v>
      </c>
      <c r="W78" s="193" t="s">
        <v>4</v>
      </c>
      <c r="X78" s="195" t="s">
        <v>4</v>
      </c>
      <c r="Y78" s="197" t="s">
        <v>4</v>
      </c>
      <c r="Z78" s="198" t="s">
        <v>58</v>
      </c>
      <c r="AA78" s="199" t="s">
        <v>110</v>
      </c>
      <c r="AB78" s="161" t="s">
        <v>463</v>
      </c>
      <c r="AC78" s="159" t="s">
        <v>464</v>
      </c>
    </row>
    <row r="79" spans="1:29" ht="19.5" customHeight="1">
      <c r="A79" s="209" t="s">
        <v>465</v>
      </c>
      <c r="B79" s="350" t="s">
        <v>466</v>
      </c>
      <c r="C79" s="208" t="s">
        <v>64</v>
      </c>
      <c r="D79" s="208" t="s">
        <v>54</v>
      </c>
      <c r="E79" s="322" t="s">
        <v>445</v>
      </c>
      <c r="F79" s="322" t="s">
        <v>467</v>
      </c>
      <c r="G79" s="218">
        <f t="shared" si="10"/>
        <v>0.22916666666666666</v>
      </c>
      <c r="H79" s="172">
        <f t="shared" si="11"/>
        <v>0.33333333333333331</v>
      </c>
      <c r="I79" s="164" t="s">
        <v>4</v>
      </c>
      <c r="J79" s="169" t="s">
        <v>4</v>
      </c>
      <c r="K79" s="171" t="s">
        <v>57</v>
      </c>
      <c r="L79" s="175">
        <f t="shared" si="12"/>
        <v>0.33333333333333331</v>
      </c>
      <c r="M79" s="177" t="s">
        <v>4</v>
      </c>
      <c r="N79" s="157" t="s">
        <v>57</v>
      </c>
      <c r="O79" s="188" t="s">
        <v>4</v>
      </c>
      <c r="P79" s="180">
        <f t="shared" si="13"/>
        <v>0</v>
      </c>
      <c r="Q79" s="181" t="s">
        <v>4</v>
      </c>
      <c r="R79" s="156" t="s">
        <v>4</v>
      </c>
      <c r="S79" s="184" t="s">
        <v>4</v>
      </c>
      <c r="T79" s="186" t="s">
        <v>4</v>
      </c>
      <c r="U79" s="190">
        <f t="shared" si="14"/>
        <v>0.25</v>
      </c>
      <c r="V79" s="158" t="s">
        <v>4</v>
      </c>
      <c r="W79" s="193" t="s">
        <v>4</v>
      </c>
      <c r="X79" s="195" t="s">
        <v>57</v>
      </c>
      <c r="Y79" s="197" t="s">
        <v>4</v>
      </c>
      <c r="Z79" s="198" t="s">
        <v>87</v>
      </c>
      <c r="AA79" s="199" t="s">
        <v>110</v>
      </c>
      <c r="AB79" s="161" t="s">
        <v>468</v>
      </c>
      <c r="AC79" s="159" t="s">
        <v>469</v>
      </c>
    </row>
    <row r="80" spans="1:29" ht="19.5" customHeight="1">
      <c r="A80" s="209" t="s">
        <v>470</v>
      </c>
      <c r="B80" s="350" t="s">
        <v>471</v>
      </c>
      <c r="C80" s="210" t="s">
        <v>53</v>
      </c>
      <c r="D80" s="208" t="s">
        <v>54</v>
      </c>
      <c r="E80" s="322" t="s">
        <v>445</v>
      </c>
      <c r="F80" s="322" t="s">
        <v>472</v>
      </c>
      <c r="G80" s="218">
        <f t="shared" si="10"/>
        <v>0.22916666666666666</v>
      </c>
      <c r="H80" s="172">
        <f t="shared" si="11"/>
        <v>0</v>
      </c>
      <c r="I80" s="164" t="s">
        <v>4</v>
      </c>
      <c r="J80" s="169" t="s">
        <v>4</v>
      </c>
      <c r="K80" s="171" t="s">
        <v>4</v>
      </c>
      <c r="L80" s="175">
        <f t="shared" si="12"/>
        <v>0.66666666666666663</v>
      </c>
      <c r="M80" s="177" t="s">
        <v>4</v>
      </c>
      <c r="N80" s="157" t="s">
        <v>57</v>
      </c>
      <c r="O80" s="188" t="s">
        <v>57</v>
      </c>
      <c r="P80" s="180">
        <f t="shared" si="13"/>
        <v>0.25</v>
      </c>
      <c r="Q80" s="181" t="s">
        <v>4</v>
      </c>
      <c r="R80" s="156" t="s">
        <v>57</v>
      </c>
      <c r="S80" s="184" t="s">
        <v>4</v>
      </c>
      <c r="T80" s="186" t="s">
        <v>4</v>
      </c>
      <c r="U80" s="190">
        <f t="shared" si="14"/>
        <v>0</v>
      </c>
      <c r="V80" s="158" t="s">
        <v>4</v>
      </c>
      <c r="W80" s="193" t="s">
        <v>4</v>
      </c>
      <c r="X80" s="195" t="s">
        <v>4</v>
      </c>
      <c r="Y80" s="197" t="s">
        <v>4</v>
      </c>
      <c r="Z80" s="198" t="s">
        <v>58</v>
      </c>
      <c r="AA80" s="199" t="s">
        <v>59</v>
      </c>
      <c r="AB80" s="161" t="s">
        <v>473</v>
      </c>
      <c r="AC80" s="159" t="s">
        <v>474</v>
      </c>
    </row>
    <row r="81" spans="1:29" ht="19.5" customHeight="1">
      <c r="A81" s="209" t="s">
        <v>475</v>
      </c>
      <c r="B81" s="350" t="s">
        <v>476</v>
      </c>
      <c r="C81" s="210" t="s">
        <v>92</v>
      </c>
      <c r="D81" s="208" t="s">
        <v>72</v>
      </c>
      <c r="E81" s="322" t="s">
        <v>445</v>
      </c>
      <c r="F81" s="322" t="s">
        <v>477</v>
      </c>
      <c r="G81" s="218">
        <f t="shared" si="10"/>
        <v>0.52083333333333326</v>
      </c>
      <c r="H81" s="172">
        <f t="shared" si="11"/>
        <v>0.33333333333333331</v>
      </c>
      <c r="I81" s="164" t="s">
        <v>4</v>
      </c>
      <c r="J81" s="169" t="s">
        <v>4</v>
      </c>
      <c r="K81" s="171" t="s">
        <v>57</v>
      </c>
      <c r="L81" s="175">
        <f t="shared" si="12"/>
        <v>1</v>
      </c>
      <c r="M81" s="177" t="s">
        <v>57</v>
      </c>
      <c r="N81" s="157" t="s">
        <v>57</v>
      </c>
      <c r="O81" s="188" t="s">
        <v>57</v>
      </c>
      <c r="P81" s="180">
        <f t="shared" si="13"/>
        <v>0.25</v>
      </c>
      <c r="Q81" s="181" t="s">
        <v>4</v>
      </c>
      <c r="R81" s="156" t="s">
        <v>57</v>
      </c>
      <c r="S81" s="184" t="s">
        <v>4</v>
      </c>
      <c r="T81" s="186" t="s">
        <v>4</v>
      </c>
      <c r="U81" s="190">
        <f t="shared" si="14"/>
        <v>0.5</v>
      </c>
      <c r="V81" s="158" t="s">
        <v>57</v>
      </c>
      <c r="W81" s="193" t="s">
        <v>4</v>
      </c>
      <c r="X81" s="195" t="s">
        <v>57</v>
      </c>
      <c r="Y81" s="197" t="s">
        <v>4</v>
      </c>
      <c r="Z81" s="198" t="s">
        <v>87</v>
      </c>
      <c r="AA81" s="199" t="s">
        <v>59</v>
      </c>
      <c r="AB81" s="161" t="s">
        <v>478</v>
      </c>
      <c r="AC81" s="159" t="s">
        <v>479</v>
      </c>
    </row>
    <row r="82" spans="1:29" ht="15">
      <c r="A82" s="209" t="s">
        <v>480</v>
      </c>
      <c r="B82" s="350" t="s">
        <v>481</v>
      </c>
      <c r="C82" s="210" t="s">
        <v>155</v>
      </c>
      <c r="D82" s="208" t="s">
        <v>482</v>
      </c>
      <c r="E82" s="322" t="s">
        <v>483</v>
      </c>
      <c r="F82" s="322" t="s">
        <v>484</v>
      </c>
      <c r="G82" s="218">
        <f t="shared" si="10"/>
        <v>0</v>
      </c>
      <c r="H82" s="172">
        <f t="shared" si="11"/>
        <v>0</v>
      </c>
      <c r="I82" s="164" t="s">
        <v>4</v>
      </c>
      <c r="J82" s="169" t="s">
        <v>4</v>
      </c>
      <c r="K82" s="171" t="s">
        <v>4</v>
      </c>
      <c r="L82" s="175">
        <f t="shared" si="12"/>
        <v>0</v>
      </c>
      <c r="M82" s="177" t="s">
        <v>4</v>
      </c>
      <c r="N82" s="157" t="s">
        <v>4</v>
      </c>
      <c r="O82" s="188" t="s">
        <v>4</v>
      </c>
      <c r="P82" s="180">
        <f t="shared" si="13"/>
        <v>0</v>
      </c>
      <c r="Q82" s="181" t="s">
        <v>4</v>
      </c>
      <c r="R82" s="156" t="s">
        <v>4</v>
      </c>
      <c r="S82" s="184" t="s">
        <v>4</v>
      </c>
      <c r="T82" s="186" t="s">
        <v>4</v>
      </c>
      <c r="U82" s="190">
        <f t="shared" si="14"/>
        <v>0</v>
      </c>
      <c r="V82" s="158" t="s">
        <v>4</v>
      </c>
      <c r="W82" s="193" t="s">
        <v>4</v>
      </c>
      <c r="X82" s="195" t="s">
        <v>4</v>
      </c>
      <c r="Y82" s="197" t="s">
        <v>4</v>
      </c>
      <c r="Z82" s="198" t="s">
        <v>58</v>
      </c>
      <c r="AA82" s="199" t="s">
        <v>59</v>
      </c>
      <c r="AB82" s="161" t="s">
        <v>485</v>
      </c>
      <c r="AC82" s="159" t="s">
        <v>486</v>
      </c>
    </row>
    <row r="83" spans="1:29" ht="19.5" customHeight="1">
      <c r="A83" s="207" t="s">
        <v>487</v>
      </c>
      <c r="B83" s="350" t="s">
        <v>488</v>
      </c>
      <c r="C83" s="208" t="s">
        <v>92</v>
      </c>
      <c r="D83" s="208" t="s">
        <v>54</v>
      </c>
      <c r="E83" s="322" t="s">
        <v>483</v>
      </c>
      <c r="F83" s="322" t="s">
        <v>489</v>
      </c>
      <c r="G83" s="218">
        <f t="shared" si="10"/>
        <v>0.47916666666666663</v>
      </c>
      <c r="H83" s="172">
        <f t="shared" si="11"/>
        <v>0</v>
      </c>
      <c r="I83" s="163" t="s">
        <v>4</v>
      </c>
      <c r="J83" s="169" t="s">
        <v>4</v>
      </c>
      <c r="K83" s="171" t="s">
        <v>4</v>
      </c>
      <c r="L83" s="175">
        <f t="shared" si="12"/>
        <v>0.66666666666666663</v>
      </c>
      <c r="M83" s="177" t="s">
        <v>4</v>
      </c>
      <c r="N83" s="157" t="s">
        <v>57</v>
      </c>
      <c r="O83" s="188" t="s">
        <v>57</v>
      </c>
      <c r="P83" s="180">
        <f t="shared" si="13"/>
        <v>0.75</v>
      </c>
      <c r="Q83" s="181" t="s">
        <v>57</v>
      </c>
      <c r="R83" s="156" t="s">
        <v>57</v>
      </c>
      <c r="S83" s="184" t="s">
        <v>57</v>
      </c>
      <c r="T83" s="186" t="s">
        <v>4</v>
      </c>
      <c r="U83" s="190">
        <f t="shared" si="14"/>
        <v>0.5</v>
      </c>
      <c r="V83" s="158" t="s">
        <v>4</v>
      </c>
      <c r="W83" s="193" t="s">
        <v>4</v>
      </c>
      <c r="X83" s="195" t="s">
        <v>57</v>
      </c>
      <c r="Y83" s="197" t="s">
        <v>57</v>
      </c>
      <c r="Z83" s="198" t="s">
        <v>87</v>
      </c>
      <c r="AA83" s="200" t="s">
        <v>110</v>
      </c>
      <c r="AB83" s="161" t="s">
        <v>490</v>
      </c>
      <c r="AC83" s="159" t="s">
        <v>491</v>
      </c>
    </row>
    <row r="84" spans="1:29" ht="19.5" customHeight="1">
      <c r="A84" s="207" t="s">
        <v>492</v>
      </c>
      <c r="B84" s="350" t="s">
        <v>493</v>
      </c>
      <c r="C84" s="208" t="s">
        <v>92</v>
      </c>
      <c r="D84" s="208" t="s">
        <v>54</v>
      </c>
      <c r="E84" s="322" t="s">
        <v>483</v>
      </c>
      <c r="F84" s="322" t="s">
        <v>494</v>
      </c>
      <c r="G84" s="218">
        <f t="shared" si="10"/>
        <v>0.70833333333333326</v>
      </c>
      <c r="H84" s="172">
        <f t="shared" si="11"/>
        <v>0.33333333333333331</v>
      </c>
      <c r="I84" s="163" t="s">
        <v>4</v>
      </c>
      <c r="J84" s="169" t="s">
        <v>4</v>
      </c>
      <c r="K84" s="171" t="s">
        <v>57</v>
      </c>
      <c r="L84" s="175">
        <f t="shared" si="12"/>
        <v>1</v>
      </c>
      <c r="M84" s="177" t="s">
        <v>57</v>
      </c>
      <c r="N84" s="157" t="s">
        <v>57</v>
      </c>
      <c r="O84" s="188" t="s">
        <v>57</v>
      </c>
      <c r="P84" s="180">
        <f t="shared" si="13"/>
        <v>0.5</v>
      </c>
      <c r="Q84" s="181" t="s">
        <v>57</v>
      </c>
      <c r="R84" s="156" t="s">
        <v>57</v>
      </c>
      <c r="S84" s="184" t="s">
        <v>4</v>
      </c>
      <c r="T84" s="186" t="s">
        <v>4</v>
      </c>
      <c r="U84" s="190">
        <f t="shared" si="14"/>
        <v>1</v>
      </c>
      <c r="V84" s="158" t="s">
        <v>57</v>
      </c>
      <c r="W84" s="193" t="s">
        <v>57</v>
      </c>
      <c r="X84" s="195" t="s">
        <v>57</v>
      </c>
      <c r="Y84" s="197" t="s">
        <v>57</v>
      </c>
      <c r="Z84" s="198" t="s">
        <v>87</v>
      </c>
      <c r="AA84" s="199" t="s">
        <v>67</v>
      </c>
      <c r="AB84" s="161" t="s">
        <v>495</v>
      </c>
      <c r="AC84" s="159" t="s">
        <v>496</v>
      </c>
    </row>
    <row r="85" spans="1:29" ht="19.5" customHeight="1">
      <c r="A85" s="209" t="s">
        <v>497</v>
      </c>
      <c r="B85" s="350" t="s">
        <v>498</v>
      </c>
      <c r="C85" s="210" t="s">
        <v>92</v>
      </c>
      <c r="D85" s="208" t="s">
        <v>54</v>
      </c>
      <c r="E85" s="322" t="s">
        <v>483</v>
      </c>
      <c r="F85" s="322" t="s">
        <v>499</v>
      </c>
      <c r="G85" s="218">
        <f t="shared" si="10"/>
        <v>0.875</v>
      </c>
      <c r="H85" s="172">
        <f t="shared" si="11"/>
        <v>1</v>
      </c>
      <c r="I85" s="164" t="s">
        <v>57</v>
      </c>
      <c r="J85" s="169" t="s">
        <v>57</v>
      </c>
      <c r="K85" s="171" t="s">
        <v>500</v>
      </c>
      <c r="L85" s="175">
        <f t="shared" si="12"/>
        <v>1</v>
      </c>
      <c r="M85" s="177" t="s">
        <v>57</v>
      </c>
      <c r="N85" s="157" t="s">
        <v>57</v>
      </c>
      <c r="O85" s="188" t="s">
        <v>57</v>
      </c>
      <c r="P85" s="180">
        <f t="shared" si="13"/>
        <v>0.75</v>
      </c>
      <c r="Q85" s="181" t="s">
        <v>57</v>
      </c>
      <c r="R85" s="156" t="s">
        <v>57</v>
      </c>
      <c r="S85" s="184" t="s">
        <v>57</v>
      </c>
      <c r="T85" s="186" t="s">
        <v>4</v>
      </c>
      <c r="U85" s="190">
        <f t="shared" si="14"/>
        <v>0.75</v>
      </c>
      <c r="V85" s="158" t="s">
        <v>4</v>
      </c>
      <c r="W85" s="193" t="s">
        <v>57</v>
      </c>
      <c r="X85" s="195" t="s">
        <v>57</v>
      </c>
      <c r="Y85" s="197" t="s">
        <v>57</v>
      </c>
      <c r="Z85" s="198" t="s">
        <v>87</v>
      </c>
      <c r="AA85" s="199" t="s">
        <v>67</v>
      </c>
      <c r="AB85" s="161" t="s">
        <v>501</v>
      </c>
      <c r="AC85" s="159" t="s">
        <v>464</v>
      </c>
    </row>
    <row r="86" spans="1:29" ht="19.5" customHeight="1">
      <c r="A86" s="207" t="s">
        <v>502</v>
      </c>
      <c r="B86" s="350" t="s">
        <v>503</v>
      </c>
      <c r="C86" s="210" t="s">
        <v>92</v>
      </c>
      <c r="D86" s="208" t="s">
        <v>54</v>
      </c>
      <c r="E86" s="322" t="s">
        <v>483</v>
      </c>
      <c r="F86" s="322" t="s">
        <v>504</v>
      </c>
      <c r="G86" s="218">
        <f t="shared" si="10"/>
        <v>0.375</v>
      </c>
      <c r="H86" s="172">
        <f t="shared" si="11"/>
        <v>0</v>
      </c>
      <c r="I86" s="163" t="s">
        <v>4</v>
      </c>
      <c r="J86" s="169" t="s">
        <v>4</v>
      </c>
      <c r="K86" s="171" t="s">
        <v>4</v>
      </c>
      <c r="L86" s="175">
        <f t="shared" si="12"/>
        <v>0.5</v>
      </c>
      <c r="M86" s="177"/>
      <c r="N86" s="157" t="s">
        <v>57</v>
      </c>
      <c r="O86" s="188" t="s">
        <v>4</v>
      </c>
      <c r="P86" s="180">
        <f t="shared" si="13"/>
        <v>0.5</v>
      </c>
      <c r="Q86" s="181" t="s">
        <v>4</v>
      </c>
      <c r="R86" s="156" t="s">
        <v>57</v>
      </c>
      <c r="S86" s="184" t="s">
        <v>57</v>
      </c>
      <c r="T86" s="186" t="s">
        <v>4</v>
      </c>
      <c r="U86" s="190">
        <f t="shared" si="14"/>
        <v>0.5</v>
      </c>
      <c r="V86" s="158" t="s">
        <v>4</v>
      </c>
      <c r="W86" s="193" t="s">
        <v>4</v>
      </c>
      <c r="X86" s="195" t="s">
        <v>57</v>
      </c>
      <c r="Y86" s="197" t="s">
        <v>57</v>
      </c>
      <c r="Z86" s="198" t="s">
        <v>87</v>
      </c>
      <c r="AA86" s="200" t="s">
        <v>110</v>
      </c>
      <c r="AB86" s="161" t="s">
        <v>505</v>
      </c>
      <c r="AC86" s="159" t="s">
        <v>506</v>
      </c>
    </row>
    <row r="87" spans="1:29" ht="19.5" customHeight="1">
      <c r="A87" s="209" t="s">
        <v>507</v>
      </c>
      <c r="B87" s="350" t="s">
        <v>508</v>
      </c>
      <c r="C87" s="208" t="s">
        <v>64</v>
      </c>
      <c r="D87" s="208" t="s">
        <v>54</v>
      </c>
      <c r="E87" s="322" t="s">
        <v>483</v>
      </c>
      <c r="F87" s="322" t="s">
        <v>509</v>
      </c>
      <c r="G87" s="218">
        <f t="shared" si="10"/>
        <v>0.6875</v>
      </c>
      <c r="H87" s="172">
        <f t="shared" si="11"/>
        <v>0</v>
      </c>
      <c r="I87" s="164" t="s">
        <v>4</v>
      </c>
      <c r="J87" s="169" t="s">
        <v>4</v>
      </c>
      <c r="K87" s="171" t="s">
        <v>4</v>
      </c>
      <c r="L87" s="175">
        <f t="shared" si="12"/>
        <v>1</v>
      </c>
      <c r="M87" s="177" t="s">
        <v>57</v>
      </c>
      <c r="N87" s="157" t="s">
        <v>57</v>
      </c>
      <c r="O87" s="188" t="s">
        <v>57</v>
      </c>
      <c r="P87" s="180">
        <f t="shared" si="13"/>
        <v>0.75</v>
      </c>
      <c r="Q87" s="181" t="s">
        <v>57</v>
      </c>
      <c r="R87" s="156" t="s">
        <v>57</v>
      </c>
      <c r="S87" s="184" t="s">
        <v>57</v>
      </c>
      <c r="T87" s="186" t="s">
        <v>4</v>
      </c>
      <c r="U87" s="190">
        <f t="shared" si="14"/>
        <v>1</v>
      </c>
      <c r="V87" s="158" t="s">
        <v>57</v>
      </c>
      <c r="W87" s="193" t="s">
        <v>57</v>
      </c>
      <c r="X87" s="195" t="s">
        <v>57</v>
      </c>
      <c r="Y87" s="197" t="s">
        <v>57</v>
      </c>
      <c r="Z87" s="198" t="s">
        <v>87</v>
      </c>
      <c r="AA87" s="199" t="s">
        <v>510</v>
      </c>
      <c r="AB87" s="161" t="s">
        <v>511</v>
      </c>
      <c r="AC87" s="159" t="s">
        <v>512</v>
      </c>
    </row>
    <row r="88" spans="1:29" ht="19.5" customHeight="1">
      <c r="A88" s="207" t="s">
        <v>513</v>
      </c>
      <c r="B88" s="350" t="s">
        <v>514</v>
      </c>
      <c r="C88" s="208" t="s">
        <v>92</v>
      </c>
      <c r="D88" s="208" t="s">
        <v>54</v>
      </c>
      <c r="E88" s="322" t="s">
        <v>483</v>
      </c>
      <c r="F88" s="322" t="s">
        <v>515</v>
      </c>
      <c r="G88" s="218">
        <f t="shared" si="10"/>
        <v>0.77083333333333326</v>
      </c>
      <c r="H88" s="172">
        <f t="shared" si="11"/>
        <v>0.33333333333333331</v>
      </c>
      <c r="I88" s="163" t="s">
        <v>4</v>
      </c>
      <c r="J88" s="169" t="s">
        <v>4</v>
      </c>
      <c r="K88" s="171" t="s">
        <v>57</v>
      </c>
      <c r="L88" s="175">
        <f t="shared" si="12"/>
        <v>1</v>
      </c>
      <c r="M88" s="177" t="s">
        <v>57</v>
      </c>
      <c r="N88" s="157" t="s">
        <v>57</v>
      </c>
      <c r="O88" s="188" t="s">
        <v>57</v>
      </c>
      <c r="P88" s="180">
        <f t="shared" si="13"/>
        <v>0.75</v>
      </c>
      <c r="Q88" s="181" t="s">
        <v>57</v>
      </c>
      <c r="R88" s="156" t="s">
        <v>57</v>
      </c>
      <c r="S88" s="184" t="s">
        <v>57</v>
      </c>
      <c r="T88" s="186" t="s">
        <v>4</v>
      </c>
      <c r="U88" s="190">
        <f t="shared" si="14"/>
        <v>1</v>
      </c>
      <c r="V88" s="158" t="s">
        <v>57</v>
      </c>
      <c r="W88" s="193" t="s">
        <v>57</v>
      </c>
      <c r="X88" s="195" t="s">
        <v>57</v>
      </c>
      <c r="Y88" s="197" t="s">
        <v>57</v>
      </c>
      <c r="Z88" s="198" t="s">
        <v>87</v>
      </c>
      <c r="AA88" s="200" t="s">
        <v>59</v>
      </c>
      <c r="AB88" s="161" t="s">
        <v>516</v>
      </c>
      <c r="AC88" s="159" t="s">
        <v>517</v>
      </c>
    </row>
    <row r="89" spans="1:29" ht="19.5" customHeight="1">
      <c r="A89" s="209" t="s">
        <v>518</v>
      </c>
      <c r="B89" s="350" t="s">
        <v>519</v>
      </c>
      <c r="C89" s="210" t="s">
        <v>92</v>
      </c>
      <c r="D89" s="208" t="s">
        <v>54</v>
      </c>
      <c r="E89" s="322" t="s">
        <v>483</v>
      </c>
      <c r="F89" s="322" t="s">
        <v>520</v>
      </c>
      <c r="G89" s="218">
        <f t="shared" si="10"/>
        <v>0.70833333333333326</v>
      </c>
      <c r="H89" s="172">
        <f t="shared" si="11"/>
        <v>0.33333333333333331</v>
      </c>
      <c r="I89" s="164" t="s">
        <v>4</v>
      </c>
      <c r="J89" s="169" t="s">
        <v>4</v>
      </c>
      <c r="K89" s="171" t="s">
        <v>57</v>
      </c>
      <c r="L89" s="175">
        <f t="shared" si="12"/>
        <v>1</v>
      </c>
      <c r="M89" s="177" t="s">
        <v>57</v>
      </c>
      <c r="N89" s="157" t="s">
        <v>57</v>
      </c>
      <c r="O89" s="188" t="s">
        <v>57</v>
      </c>
      <c r="P89" s="180">
        <f t="shared" si="13"/>
        <v>0.5</v>
      </c>
      <c r="Q89" s="181" t="s">
        <v>4</v>
      </c>
      <c r="R89" s="156" t="s">
        <v>57</v>
      </c>
      <c r="S89" s="184" t="s">
        <v>57</v>
      </c>
      <c r="T89" s="186" t="s">
        <v>4</v>
      </c>
      <c r="U89" s="190">
        <f t="shared" si="14"/>
        <v>1</v>
      </c>
      <c r="V89" s="158" t="s">
        <v>57</v>
      </c>
      <c r="W89" s="193" t="s">
        <v>57</v>
      </c>
      <c r="X89" s="195" t="s">
        <v>57</v>
      </c>
      <c r="Y89" s="197" t="s">
        <v>57</v>
      </c>
      <c r="Z89" s="198" t="s">
        <v>87</v>
      </c>
      <c r="AA89" s="199" t="s">
        <v>67</v>
      </c>
      <c r="AB89" s="161" t="s">
        <v>521</v>
      </c>
      <c r="AC89" s="159" t="s">
        <v>522</v>
      </c>
    </row>
    <row r="90" spans="1:29" ht="19.5" customHeight="1">
      <c r="A90" s="209" t="s">
        <v>523</v>
      </c>
      <c r="B90" s="350" t="s">
        <v>524</v>
      </c>
      <c r="C90" s="210" t="s">
        <v>92</v>
      </c>
      <c r="D90" s="208" t="s">
        <v>54</v>
      </c>
      <c r="E90" s="322" t="s">
        <v>483</v>
      </c>
      <c r="F90" s="322" t="s">
        <v>525</v>
      </c>
      <c r="G90" s="218">
        <f t="shared" si="10"/>
        <v>0.27083333333333331</v>
      </c>
      <c r="H90" s="172">
        <f t="shared" si="11"/>
        <v>0</v>
      </c>
      <c r="I90" s="164" t="s">
        <v>4</v>
      </c>
      <c r="J90" s="169" t="s">
        <v>4</v>
      </c>
      <c r="K90" s="171" t="s">
        <v>4</v>
      </c>
      <c r="L90" s="175">
        <f t="shared" si="12"/>
        <v>0.33333333333333331</v>
      </c>
      <c r="M90" s="177" t="s">
        <v>4</v>
      </c>
      <c r="N90" s="157" t="s">
        <v>57</v>
      </c>
      <c r="O90" s="188" t="s">
        <v>4</v>
      </c>
      <c r="P90" s="180">
        <f t="shared" si="13"/>
        <v>0</v>
      </c>
      <c r="Q90" s="181" t="s">
        <v>4</v>
      </c>
      <c r="R90" s="156" t="s">
        <v>4</v>
      </c>
      <c r="S90" s="184" t="s">
        <v>4</v>
      </c>
      <c r="T90" s="186" t="s">
        <v>4</v>
      </c>
      <c r="U90" s="190">
        <f t="shared" si="14"/>
        <v>0.75</v>
      </c>
      <c r="V90" s="158" t="s">
        <v>57</v>
      </c>
      <c r="W90" s="193" t="s">
        <v>57</v>
      </c>
      <c r="X90" s="195" t="s">
        <v>57</v>
      </c>
      <c r="Y90" s="197" t="s">
        <v>4</v>
      </c>
      <c r="Z90" s="198" t="s">
        <v>58</v>
      </c>
      <c r="AA90" s="199" t="s">
        <v>59</v>
      </c>
      <c r="AB90" s="161" t="s">
        <v>526</v>
      </c>
      <c r="AC90" s="159" t="s">
        <v>486</v>
      </c>
    </row>
    <row r="91" spans="1:29" ht="19.5" customHeight="1">
      <c r="A91" s="207" t="s">
        <v>527</v>
      </c>
      <c r="B91" s="350" t="s">
        <v>528</v>
      </c>
      <c r="C91" s="208" t="s">
        <v>92</v>
      </c>
      <c r="D91" s="208" t="s">
        <v>72</v>
      </c>
      <c r="E91" s="322" t="s">
        <v>483</v>
      </c>
      <c r="F91" s="322" t="s">
        <v>529</v>
      </c>
      <c r="G91" s="218">
        <f t="shared" si="10"/>
        <v>0.375</v>
      </c>
      <c r="H91" s="172">
        <f t="shared" si="11"/>
        <v>0.33333333333333331</v>
      </c>
      <c r="I91" s="163" t="s">
        <v>4</v>
      </c>
      <c r="J91" s="169" t="s">
        <v>4</v>
      </c>
      <c r="K91" s="171" t="s">
        <v>57</v>
      </c>
      <c r="L91" s="175">
        <f t="shared" si="12"/>
        <v>0.66666666666666663</v>
      </c>
      <c r="M91" s="177" t="s">
        <v>57</v>
      </c>
      <c r="N91" s="157" t="s">
        <v>4</v>
      </c>
      <c r="O91" s="188" t="s">
        <v>57</v>
      </c>
      <c r="P91" s="180">
        <f t="shared" si="13"/>
        <v>0</v>
      </c>
      <c r="Q91" s="181" t="s">
        <v>4</v>
      </c>
      <c r="R91" s="156" t="s">
        <v>4</v>
      </c>
      <c r="S91" s="184" t="s">
        <v>4</v>
      </c>
      <c r="T91" s="186" t="s">
        <v>4</v>
      </c>
      <c r="U91" s="190">
        <f t="shared" si="14"/>
        <v>0.5</v>
      </c>
      <c r="V91" s="158" t="s">
        <v>4</v>
      </c>
      <c r="W91" s="193" t="s">
        <v>57</v>
      </c>
      <c r="X91" s="195" t="s">
        <v>57</v>
      </c>
      <c r="Y91" s="197" t="s">
        <v>4</v>
      </c>
      <c r="Z91" s="198" t="s">
        <v>58</v>
      </c>
      <c r="AA91" s="201"/>
      <c r="AB91" s="161" t="s">
        <v>530</v>
      </c>
      <c r="AC91" s="159" t="s">
        <v>531</v>
      </c>
    </row>
    <row r="92" spans="1:29" ht="19.5" customHeight="1">
      <c r="A92" s="207" t="s">
        <v>532</v>
      </c>
      <c r="B92" s="350" t="s">
        <v>533</v>
      </c>
      <c r="C92" s="208" t="s">
        <v>92</v>
      </c>
      <c r="D92" s="208" t="s">
        <v>54</v>
      </c>
      <c r="E92" s="322" t="s">
        <v>483</v>
      </c>
      <c r="F92" s="322" t="s">
        <v>534</v>
      </c>
      <c r="G92" s="218">
        <f t="shared" si="10"/>
        <v>0.5</v>
      </c>
      <c r="H92" s="172">
        <f t="shared" si="11"/>
        <v>0.33333333333333331</v>
      </c>
      <c r="I92" s="163" t="s">
        <v>4</v>
      </c>
      <c r="J92" s="169" t="s">
        <v>4</v>
      </c>
      <c r="K92" s="171" t="s">
        <v>57</v>
      </c>
      <c r="L92" s="175">
        <f t="shared" si="12"/>
        <v>0.66666666666666663</v>
      </c>
      <c r="M92" s="177" t="s">
        <v>4</v>
      </c>
      <c r="N92" s="157" t="s">
        <v>57</v>
      </c>
      <c r="O92" s="188" t="s">
        <v>57</v>
      </c>
      <c r="P92" s="180">
        <f t="shared" si="13"/>
        <v>0.25</v>
      </c>
      <c r="Q92" s="181" t="s">
        <v>57</v>
      </c>
      <c r="R92" s="156" t="s">
        <v>4</v>
      </c>
      <c r="S92" s="184" t="s">
        <v>4</v>
      </c>
      <c r="T92" s="186" t="s">
        <v>4</v>
      </c>
      <c r="U92" s="190">
        <f t="shared" si="14"/>
        <v>0.75</v>
      </c>
      <c r="V92" s="158" t="s">
        <v>4</v>
      </c>
      <c r="W92" s="193" t="s">
        <v>57</v>
      </c>
      <c r="X92" s="195" t="s">
        <v>57</v>
      </c>
      <c r="Y92" s="197" t="s">
        <v>57</v>
      </c>
      <c r="Z92" s="198" t="s">
        <v>87</v>
      </c>
      <c r="AA92" s="200" t="s">
        <v>67</v>
      </c>
      <c r="AB92" s="161" t="s">
        <v>535</v>
      </c>
      <c r="AC92" s="159" t="s">
        <v>486</v>
      </c>
    </row>
    <row r="93" spans="1:29" ht="19.5" customHeight="1">
      <c r="A93" s="209" t="s">
        <v>536</v>
      </c>
      <c r="B93" s="350" t="s">
        <v>537</v>
      </c>
      <c r="C93" s="210" t="s">
        <v>92</v>
      </c>
      <c r="D93" s="208" t="s">
        <v>54</v>
      </c>
      <c r="E93" s="322" t="s">
        <v>483</v>
      </c>
      <c r="F93" s="322" t="s">
        <v>538</v>
      </c>
      <c r="G93" s="218">
        <f t="shared" si="10"/>
        <v>8.3333333333333329E-2</v>
      </c>
      <c r="H93" s="172">
        <f t="shared" si="11"/>
        <v>0</v>
      </c>
      <c r="I93" s="164" t="s">
        <v>4</v>
      </c>
      <c r="J93" s="169" t="s">
        <v>4</v>
      </c>
      <c r="K93" s="171" t="s">
        <v>4</v>
      </c>
      <c r="L93" s="175">
        <f t="shared" si="12"/>
        <v>0.33333333333333331</v>
      </c>
      <c r="M93" s="177" t="s">
        <v>57</v>
      </c>
      <c r="N93" s="157" t="s">
        <v>4</v>
      </c>
      <c r="O93" s="188" t="s">
        <v>4</v>
      </c>
      <c r="P93" s="180">
        <f t="shared" si="13"/>
        <v>0</v>
      </c>
      <c r="Q93" s="181" t="s">
        <v>4</v>
      </c>
      <c r="R93" s="156" t="s">
        <v>4</v>
      </c>
      <c r="S93" s="184" t="s">
        <v>4</v>
      </c>
      <c r="T93" s="186" t="s">
        <v>4</v>
      </c>
      <c r="U93" s="190">
        <f t="shared" si="14"/>
        <v>0</v>
      </c>
      <c r="V93" s="158" t="s">
        <v>4</v>
      </c>
      <c r="W93" s="193" t="s">
        <v>4</v>
      </c>
      <c r="X93" s="195" t="s">
        <v>4</v>
      </c>
      <c r="Y93" s="197" t="s">
        <v>4</v>
      </c>
      <c r="Z93" s="198" t="s">
        <v>87</v>
      </c>
      <c r="AA93" s="199" t="s">
        <v>59</v>
      </c>
      <c r="AB93" s="161" t="s">
        <v>539</v>
      </c>
      <c r="AC93" s="159" t="s">
        <v>540</v>
      </c>
    </row>
    <row r="94" spans="1:29" ht="19.5" customHeight="1">
      <c r="A94" s="209" t="s">
        <v>541</v>
      </c>
      <c r="B94" s="350" t="s">
        <v>542</v>
      </c>
      <c r="C94" s="208" t="s">
        <v>64</v>
      </c>
      <c r="D94" s="208" t="s">
        <v>54</v>
      </c>
      <c r="E94" s="322" t="s">
        <v>483</v>
      </c>
      <c r="F94" s="322" t="s">
        <v>543</v>
      </c>
      <c r="G94" s="218">
        <f t="shared" si="10"/>
        <v>0.60416666666666663</v>
      </c>
      <c r="H94" s="172">
        <f t="shared" si="11"/>
        <v>0</v>
      </c>
      <c r="I94" s="164" t="s">
        <v>4</v>
      </c>
      <c r="J94" s="169" t="s">
        <v>4</v>
      </c>
      <c r="K94" s="171" t="s">
        <v>4</v>
      </c>
      <c r="L94" s="175">
        <f t="shared" si="12"/>
        <v>0.66666666666666663</v>
      </c>
      <c r="M94" s="177" t="s">
        <v>4</v>
      </c>
      <c r="N94" s="157" t="s">
        <v>57</v>
      </c>
      <c r="O94" s="188" t="s">
        <v>57</v>
      </c>
      <c r="P94" s="180">
        <f t="shared" si="13"/>
        <v>0.75</v>
      </c>
      <c r="Q94" s="181" t="s">
        <v>57</v>
      </c>
      <c r="R94" s="156" t="s">
        <v>57</v>
      </c>
      <c r="S94" s="184" t="s">
        <v>57</v>
      </c>
      <c r="T94" s="186" t="s">
        <v>4</v>
      </c>
      <c r="U94" s="190">
        <f t="shared" si="14"/>
        <v>1</v>
      </c>
      <c r="V94" s="158" t="s">
        <v>57</v>
      </c>
      <c r="W94" s="193" t="s">
        <v>57</v>
      </c>
      <c r="X94" s="195" t="s">
        <v>57</v>
      </c>
      <c r="Y94" s="197" t="s">
        <v>57</v>
      </c>
      <c r="Z94" s="198" t="s">
        <v>87</v>
      </c>
      <c r="AA94" s="200" t="s">
        <v>67</v>
      </c>
      <c r="AB94" s="161" t="s">
        <v>544</v>
      </c>
      <c r="AC94" s="159" t="s">
        <v>545</v>
      </c>
    </row>
    <row r="95" spans="1:29" ht="19.5" customHeight="1">
      <c r="A95" s="207" t="s">
        <v>546</v>
      </c>
      <c r="B95" s="350" t="s">
        <v>547</v>
      </c>
      <c r="C95" s="208" t="s">
        <v>92</v>
      </c>
      <c r="D95" s="208" t="s">
        <v>54</v>
      </c>
      <c r="E95" s="322" t="s">
        <v>483</v>
      </c>
      <c r="F95" s="322" t="s">
        <v>548</v>
      </c>
      <c r="G95" s="218">
        <f t="shared" ref="G95:G126" si="15">AVERAGE(H95,L95,P95,U95)</f>
        <v>0.45833333333333331</v>
      </c>
      <c r="H95" s="172">
        <f t="shared" ref="H95:H126" si="16">COUNTIF(I95:K95,"Y") / COUNTA(I95:K95)</f>
        <v>0.66666666666666663</v>
      </c>
      <c r="I95" s="163" t="s">
        <v>57</v>
      </c>
      <c r="J95" s="169" t="s">
        <v>4</v>
      </c>
      <c r="K95" s="171" t="s">
        <v>57</v>
      </c>
      <c r="L95" s="175">
        <f t="shared" ref="L95:L126" si="17">COUNTIF(M95:O95,"Y") / COUNTA(M95:O95)</f>
        <v>0.66666666666666663</v>
      </c>
      <c r="M95" s="177" t="s">
        <v>57</v>
      </c>
      <c r="N95" s="157" t="s">
        <v>57</v>
      </c>
      <c r="O95" s="188" t="s">
        <v>4</v>
      </c>
      <c r="P95" s="180">
        <f t="shared" ref="P95:P126" si="18">COUNTIF(Q95:T95,"Y") / COUNTA(Q95:T95)</f>
        <v>0</v>
      </c>
      <c r="Q95" s="181" t="s">
        <v>4</v>
      </c>
      <c r="R95" s="156" t="s">
        <v>4</v>
      </c>
      <c r="S95" s="184" t="s">
        <v>4</v>
      </c>
      <c r="T95" s="186" t="s">
        <v>4</v>
      </c>
      <c r="U95" s="190">
        <f t="shared" ref="U95:U126" si="19">COUNTIF(V95:Y95,"Y") / COUNTA(V95:Y95)</f>
        <v>0.5</v>
      </c>
      <c r="V95" s="158" t="s">
        <v>4</v>
      </c>
      <c r="W95" s="193" t="s">
        <v>4</v>
      </c>
      <c r="X95" s="195" t="s">
        <v>57</v>
      </c>
      <c r="Y95" s="197" t="s">
        <v>57</v>
      </c>
      <c r="Z95" s="198" t="s">
        <v>87</v>
      </c>
      <c r="AA95" s="200" t="s">
        <v>67</v>
      </c>
      <c r="AB95" s="161" t="s">
        <v>549</v>
      </c>
      <c r="AC95" s="159" t="s">
        <v>550</v>
      </c>
    </row>
    <row r="96" spans="1:29" ht="19.5" customHeight="1">
      <c r="A96" s="207" t="s">
        <v>551</v>
      </c>
      <c r="B96" s="350" t="s">
        <v>552</v>
      </c>
      <c r="C96" s="208" t="s">
        <v>92</v>
      </c>
      <c r="D96" s="208" t="s">
        <v>54</v>
      </c>
      <c r="E96" s="322" t="s">
        <v>483</v>
      </c>
      <c r="F96" s="322" t="s">
        <v>553</v>
      </c>
      <c r="G96" s="218">
        <f t="shared" si="15"/>
        <v>8.3333333333333329E-2</v>
      </c>
      <c r="H96" s="172">
        <f t="shared" si="16"/>
        <v>0.33333333333333331</v>
      </c>
      <c r="I96" s="163" t="s">
        <v>57</v>
      </c>
      <c r="J96" s="169" t="s">
        <v>4</v>
      </c>
      <c r="K96" s="171" t="s">
        <v>4</v>
      </c>
      <c r="L96" s="175">
        <f t="shared" si="17"/>
        <v>0</v>
      </c>
      <c r="M96" s="177" t="s">
        <v>4</v>
      </c>
      <c r="N96" s="157" t="s">
        <v>4</v>
      </c>
      <c r="O96" s="188" t="s">
        <v>4</v>
      </c>
      <c r="P96" s="180">
        <f t="shared" si="18"/>
        <v>0</v>
      </c>
      <c r="Q96" s="181" t="s">
        <v>4</v>
      </c>
      <c r="R96" s="156" t="s">
        <v>4</v>
      </c>
      <c r="S96" s="184" t="s">
        <v>4</v>
      </c>
      <c r="T96" s="186" t="s">
        <v>4</v>
      </c>
      <c r="U96" s="190">
        <f t="shared" si="19"/>
        <v>0</v>
      </c>
      <c r="V96" s="158" t="s">
        <v>4</v>
      </c>
      <c r="W96" s="193" t="s">
        <v>4</v>
      </c>
      <c r="X96" s="195" t="s">
        <v>4</v>
      </c>
      <c r="Y96" s="197" t="s">
        <v>4</v>
      </c>
      <c r="Z96" s="198" t="s">
        <v>58</v>
      </c>
      <c r="AA96" s="199" t="s">
        <v>67</v>
      </c>
      <c r="AB96" s="161" t="s">
        <v>554</v>
      </c>
      <c r="AC96" s="159" t="s">
        <v>486</v>
      </c>
    </row>
    <row r="97" spans="1:29" ht="19.5" customHeight="1">
      <c r="A97" s="207" t="s">
        <v>555</v>
      </c>
      <c r="B97" s="350" t="s">
        <v>556</v>
      </c>
      <c r="C97" s="208" t="s">
        <v>92</v>
      </c>
      <c r="D97" s="208" t="s">
        <v>54</v>
      </c>
      <c r="E97" s="322" t="s">
        <v>483</v>
      </c>
      <c r="F97" s="322" t="s">
        <v>499</v>
      </c>
      <c r="G97" s="218">
        <f t="shared" si="15"/>
        <v>0.5625</v>
      </c>
      <c r="H97" s="172">
        <f t="shared" si="16"/>
        <v>0.33333333333333331</v>
      </c>
      <c r="I97" s="163" t="s">
        <v>4</v>
      </c>
      <c r="J97" s="169" t="s">
        <v>4</v>
      </c>
      <c r="K97" s="171" t="s">
        <v>57</v>
      </c>
      <c r="L97" s="175">
        <f t="shared" si="17"/>
        <v>0.66666666666666663</v>
      </c>
      <c r="M97" s="177" t="s">
        <v>4</v>
      </c>
      <c r="N97" s="157" t="s">
        <v>57</v>
      </c>
      <c r="O97" s="188" t="s">
        <v>57</v>
      </c>
      <c r="P97" s="180">
        <f t="shared" si="18"/>
        <v>0.25</v>
      </c>
      <c r="Q97" s="181" t="s">
        <v>4</v>
      </c>
      <c r="R97" s="156" t="s">
        <v>57</v>
      </c>
      <c r="S97" s="184" t="s">
        <v>4</v>
      </c>
      <c r="T97" s="186" t="s">
        <v>4</v>
      </c>
      <c r="U97" s="190">
        <f t="shared" si="19"/>
        <v>1</v>
      </c>
      <c r="V97" s="158" t="s">
        <v>57</v>
      </c>
      <c r="W97" s="193" t="s">
        <v>57</v>
      </c>
      <c r="X97" s="195" t="s">
        <v>57</v>
      </c>
      <c r="Y97" s="197" t="s">
        <v>57</v>
      </c>
      <c r="Z97" s="198" t="s">
        <v>87</v>
      </c>
      <c r="AA97" s="200" t="s">
        <v>110</v>
      </c>
      <c r="AB97" s="161" t="s">
        <v>557</v>
      </c>
      <c r="AC97" s="159" t="s">
        <v>558</v>
      </c>
    </row>
    <row r="98" spans="1:29" ht="19.5" customHeight="1">
      <c r="A98" s="209" t="s">
        <v>559</v>
      </c>
      <c r="B98" s="350" t="s">
        <v>560</v>
      </c>
      <c r="C98" s="210" t="s">
        <v>92</v>
      </c>
      <c r="D98" s="208" t="s">
        <v>54</v>
      </c>
      <c r="E98" s="322" t="s">
        <v>483</v>
      </c>
      <c r="F98" s="322" t="s">
        <v>561</v>
      </c>
      <c r="G98" s="218">
        <f t="shared" si="15"/>
        <v>0.47916666666666663</v>
      </c>
      <c r="H98" s="172">
        <f t="shared" si="16"/>
        <v>0</v>
      </c>
      <c r="I98" s="164" t="s">
        <v>4</v>
      </c>
      <c r="J98" s="169" t="s">
        <v>4</v>
      </c>
      <c r="K98" s="171" t="s">
        <v>4</v>
      </c>
      <c r="L98" s="175">
        <f t="shared" si="17"/>
        <v>0.66666666666666663</v>
      </c>
      <c r="M98" s="177" t="s">
        <v>57</v>
      </c>
      <c r="N98" s="157" t="s">
        <v>57</v>
      </c>
      <c r="O98" s="188" t="s">
        <v>4</v>
      </c>
      <c r="P98" s="180">
        <f t="shared" si="18"/>
        <v>0.5</v>
      </c>
      <c r="Q98" s="181" t="s">
        <v>57</v>
      </c>
      <c r="R98" s="156" t="s">
        <v>57</v>
      </c>
      <c r="S98" s="184" t="s">
        <v>4</v>
      </c>
      <c r="T98" s="186" t="s">
        <v>4</v>
      </c>
      <c r="U98" s="190">
        <f t="shared" si="19"/>
        <v>0.75</v>
      </c>
      <c r="V98" s="158" t="s">
        <v>57</v>
      </c>
      <c r="W98" s="193" t="s">
        <v>4</v>
      </c>
      <c r="X98" s="195" t="s">
        <v>57</v>
      </c>
      <c r="Y98" s="197" t="s">
        <v>57</v>
      </c>
      <c r="Z98" s="198" t="s">
        <v>87</v>
      </c>
      <c r="AA98" s="199" t="s">
        <v>59</v>
      </c>
      <c r="AB98" s="161" t="s">
        <v>562</v>
      </c>
      <c r="AC98" s="159" t="s">
        <v>563</v>
      </c>
    </row>
    <row r="99" spans="1:29" ht="19.5" customHeight="1">
      <c r="A99" s="211" t="s">
        <v>564</v>
      </c>
      <c r="B99" s="350" t="s">
        <v>565</v>
      </c>
      <c r="C99" s="210" t="s">
        <v>566</v>
      </c>
      <c r="D99" s="208" t="s">
        <v>54</v>
      </c>
      <c r="E99" s="322" t="s">
        <v>567</v>
      </c>
      <c r="F99" s="322" t="s">
        <v>568</v>
      </c>
      <c r="G99" s="218">
        <f t="shared" si="15"/>
        <v>0.5625</v>
      </c>
      <c r="H99" s="172">
        <f t="shared" si="16"/>
        <v>0.33333333333333331</v>
      </c>
      <c r="I99" s="164" t="s">
        <v>4</v>
      </c>
      <c r="J99" s="169" t="s">
        <v>4</v>
      </c>
      <c r="K99" s="171" t="s">
        <v>57</v>
      </c>
      <c r="L99" s="175">
        <f t="shared" si="17"/>
        <v>0.66666666666666663</v>
      </c>
      <c r="M99" s="177" t="s">
        <v>4</v>
      </c>
      <c r="N99" s="157" t="s">
        <v>57</v>
      </c>
      <c r="O99" s="188" t="s">
        <v>57</v>
      </c>
      <c r="P99" s="180">
        <f t="shared" si="18"/>
        <v>0.75</v>
      </c>
      <c r="Q99" s="181" t="s">
        <v>4</v>
      </c>
      <c r="R99" s="156" t="s">
        <v>57</v>
      </c>
      <c r="S99" s="184" t="s">
        <v>57</v>
      </c>
      <c r="T99" s="186" t="s">
        <v>57</v>
      </c>
      <c r="U99" s="190">
        <f t="shared" si="19"/>
        <v>0.5</v>
      </c>
      <c r="V99" s="158" t="s">
        <v>57</v>
      </c>
      <c r="W99" s="193" t="s">
        <v>4</v>
      </c>
      <c r="X99" s="195" t="s">
        <v>57</v>
      </c>
      <c r="Y99" s="197" t="s">
        <v>4</v>
      </c>
      <c r="Z99" s="198" t="s">
        <v>58</v>
      </c>
      <c r="AA99" s="199" t="s">
        <v>59</v>
      </c>
      <c r="AB99" s="161" t="s">
        <v>569</v>
      </c>
      <c r="AC99" s="159" t="s">
        <v>570</v>
      </c>
    </row>
    <row r="100" spans="1:29" ht="19.5" customHeight="1">
      <c r="A100" s="207" t="s">
        <v>571</v>
      </c>
      <c r="B100" s="350" t="s">
        <v>572</v>
      </c>
      <c r="C100" s="210" t="s">
        <v>566</v>
      </c>
      <c r="D100" s="208" t="s">
        <v>54</v>
      </c>
      <c r="E100" s="322" t="s">
        <v>567</v>
      </c>
      <c r="F100" s="322" t="s">
        <v>573</v>
      </c>
      <c r="G100" s="218">
        <f t="shared" si="15"/>
        <v>0.29166666666666663</v>
      </c>
      <c r="H100" s="172">
        <f t="shared" si="16"/>
        <v>0.66666666666666663</v>
      </c>
      <c r="I100" s="163" t="s">
        <v>57</v>
      </c>
      <c r="J100" s="169" t="s">
        <v>4</v>
      </c>
      <c r="K100" s="171" t="s">
        <v>57</v>
      </c>
      <c r="L100" s="175">
        <f t="shared" si="17"/>
        <v>0</v>
      </c>
      <c r="M100" s="177" t="s">
        <v>4</v>
      </c>
      <c r="N100" s="157" t="s">
        <v>4</v>
      </c>
      <c r="O100" s="188" t="s">
        <v>4</v>
      </c>
      <c r="P100" s="180">
        <f t="shared" si="18"/>
        <v>0.5</v>
      </c>
      <c r="Q100" s="181" t="s">
        <v>4</v>
      </c>
      <c r="R100" s="156" t="s">
        <v>57</v>
      </c>
      <c r="S100" s="184" t="s">
        <v>4</v>
      </c>
      <c r="T100" s="186" t="s">
        <v>57</v>
      </c>
      <c r="U100" s="190">
        <f t="shared" si="19"/>
        <v>0</v>
      </c>
      <c r="V100" s="158" t="s">
        <v>4</v>
      </c>
      <c r="W100" s="193" t="s">
        <v>4</v>
      </c>
      <c r="X100" s="195" t="s">
        <v>4</v>
      </c>
      <c r="Y100" s="197" t="s">
        <v>4</v>
      </c>
      <c r="Z100" s="198" t="s">
        <v>58</v>
      </c>
      <c r="AA100" s="200" t="s">
        <v>59</v>
      </c>
      <c r="AB100" s="161" t="s">
        <v>574</v>
      </c>
      <c r="AC100" s="159" t="s">
        <v>575</v>
      </c>
    </row>
    <row r="101" spans="1:29" ht="19.5" customHeight="1">
      <c r="A101" s="207" t="s">
        <v>576</v>
      </c>
      <c r="B101" s="350" t="s">
        <v>577</v>
      </c>
      <c r="C101" s="210" t="s">
        <v>566</v>
      </c>
      <c r="D101" s="208" t="s">
        <v>72</v>
      </c>
      <c r="E101" s="322" t="s">
        <v>567</v>
      </c>
      <c r="F101" s="322" t="s">
        <v>578</v>
      </c>
      <c r="G101" s="218">
        <f t="shared" si="15"/>
        <v>0.20833333333333331</v>
      </c>
      <c r="H101" s="172">
        <f t="shared" si="16"/>
        <v>0</v>
      </c>
      <c r="I101" s="163" t="s">
        <v>4</v>
      </c>
      <c r="J101" s="169" t="s">
        <v>4</v>
      </c>
      <c r="K101" s="171" t="s">
        <v>4</v>
      </c>
      <c r="L101" s="175">
        <f t="shared" si="17"/>
        <v>0.33333333333333331</v>
      </c>
      <c r="M101" s="177" t="s">
        <v>4</v>
      </c>
      <c r="N101" s="157" t="s">
        <v>4</v>
      </c>
      <c r="O101" s="188" t="s">
        <v>57</v>
      </c>
      <c r="P101" s="180">
        <f t="shared" si="18"/>
        <v>0.5</v>
      </c>
      <c r="Q101" s="181" t="s">
        <v>4</v>
      </c>
      <c r="R101" s="156" t="s">
        <v>57</v>
      </c>
      <c r="S101" s="184" t="s">
        <v>4</v>
      </c>
      <c r="T101" s="186" t="s">
        <v>57</v>
      </c>
      <c r="U101" s="190">
        <f t="shared" si="19"/>
        <v>0</v>
      </c>
      <c r="V101" s="158" t="s">
        <v>4</v>
      </c>
      <c r="W101" s="193" t="s">
        <v>4</v>
      </c>
      <c r="X101" s="195" t="s">
        <v>4</v>
      </c>
      <c r="Y101" s="197" t="s">
        <v>4</v>
      </c>
      <c r="Z101" s="198" t="s">
        <v>58</v>
      </c>
      <c r="AA101" s="201" t="s">
        <v>67</v>
      </c>
      <c r="AB101" s="161" t="s">
        <v>579</v>
      </c>
      <c r="AC101" s="159" t="s">
        <v>580</v>
      </c>
    </row>
    <row r="102" spans="1:29" ht="19.5" customHeight="1">
      <c r="A102" s="207" t="s">
        <v>581</v>
      </c>
      <c r="B102" s="350" t="s">
        <v>582</v>
      </c>
      <c r="C102" s="207" t="s">
        <v>2</v>
      </c>
      <c r="D102" s="208" t="s">
        <v>54</v>
      </c>
      <c r="E102" s="322" t="s">
        <v>567</v>
      </c>
      <c r="F102" s="322" t="s">
        <v>583</v>
      </c>
      <c r="G102" s="218">
        <f t="shared" si="15"/>
        <v>0.72916666666666663</v>
      </c>
      <c r="H102" s="172">
        <f t="shared" si="16"/>
        <v>1</v>
      </c>
      <c r="I102" s="163" t="s">
        <v>57</v>
      </c>
      <c r="J102" s="169" t="s">
        <v>57</v>
      </c>
      <c r="K102" s="171" t="s">
        <v>57</v>
      </c>
      <c r="L102" s="175">
        <f t="shared" si="17"/>
        <v>0.66666666666666663</v>
      </c>
      <c r="M102" s="177" t="s">
        <v>57</v>
      </c>
      <c r="N102" s="157" t="s">
        <v>57</v>
      </c>
      <c r="O102" s="188" t="s">
        <v>4</v>
      </c>
      <c r="P102" s="180">
        <f t="shared" si="18"/>
        <v>0.75</v>
      </c>
      <c r="Q102" s="181" t="s">
        <v>57</v>
      </c>
      <c r="R102" s="156" t="s">
        <v>57</v>
      </c>
      <c r="S102" s="184" t="s">
        <v>4</v>
      </c>
      <c r="T102" s="186" t="s">
        <v>57</v>
      </c>
      <c r="U102" s="190">
        <f t="shared" si="19"/>
        <v>0.5</v>
      </c>
      <c r="V102" s="158" t="s">
        <v>57</v>
      </c>
      <c r="W102" s="193" t="s">
        <v>4</v>
      </c>
      <c r="X102" s="195" t="s">
        <v>57</v>
      </c>
      <c r="Y102" s="197" t="s">
        <v>4</v>
      </c>
      <c r="Z102" s="198" t="s">
        <v>58</v>
      </c>
      <c r="AA102" s="200" t="s">
        <v>59</v>
      </c>
      <c r="AB102" s="161" t="s">
        <v>584</v>
      </c>
      <c r="AC102" s="159" t="s">
        <v>585</v>
      </c>
    </row>
    <row r="103" spans="1:29" ht="19.5" customHeight="1">
      <c r="A103" s="207" t="s">
        <v>586</v>
      </c>
      <c r="B103" s="350" t="s">
        <v>587</v>
      </c>
      <c r="C103" s="207" t="s">
        <v>53</v>
      </c>
      <c r="D103" s="208" t="s">
        <v>54</v>
      </c>
      <c r="E103" s="322" t="s">
        <v>567</v>
      </c>
      <c r="F103" s="322" t="s">
        <v>588</v>
      </c>
      <c r="G103" s="218">
        <f t="shared" si="15"/>
        <v>0.5</v>
      </c>
      <c r="H103" s="172">
        <f t="shared" si="16"/>
        <v>0.33333333333333331</v>
      </c>
      <c r="I103" s="163" t="s">
        <v>4</v>
      </c>
      <c r="J103" s="169" t="s">
        <v>4</v>
      </c>
      <c r="K103" s="171" t="s">
        <v>57</v>
      </c>
      <c r="L103" s="175">
        <f t="shared" si="17"/>
        <v>0.66666666666666663</v>
      </c>
      <c r="M103" s="177" t="s">
        <v>57</v>
      </c>
      <c r="N103" s="157" t="s">
        <v>57</v>
      </c>
      <c r="O103" s="188" t="s">
        <v>4</v>
      </c>
      <c r="P103" s="180">
        <f t="shared" si="18"/>
        <v>0.75</v>
      </c>
      <c r="Q103" s="181" t="s">
        <v>57</v>
      </c>
      <c r="R103" s="156" t="s">
        <v>57</v>
      </c>
      <c r="S103" s="184" t="s">
        <v>57</v>
      </c>
      <c r="T103" s="186" t="s">
        <v>4</v>
      </c>
      <c r="U103" s="190">
        <f t="shared" si="19"/>
        <v>0.25</v>
      </c>
      <c r="V103" s="158" t="s">
        <v>4</v>
      </c>
      <c r="W103" s="193" t="s">
        <v>57</v>
      </c>
      <c r="X103" s="195" t="s">
        <v>4</v>
      </c>
      <c r="Y103" s="197" t="s">
        <v>4</v>
      </c>
      <c r="Z103" s="198" t="s">
        <v>58</v>
      </c>
      <c r="AA103" s="200" t="s">
        <v>67</v>
      </c>
      <c r="AB103" s="161" t="s">
        <v>589</v>
      </c>
      <c r="AC103" s="159" t="s">
        <v>590</v>
      </c>
    </row>
    <row r="104" spans="1:29" ht="19.5" customHeight="1">
      <c r="A104" s="214" t="s">
        <v>591</v>
      </c>
      <c r="B104" s="350" t="s">
        <v>592</v>
      </c>
      <c r="C104" s="208" t="s">
        <v>64</v>
      </c>
      <c r="D104" s="208" t="s">
        <v>54</v>
      </c>
      <c r="E104" s="322" t="s">
        <v>567</v>
      </c>
      <c r="F104" s="322" t="s">
        <v>593</v>
      </c>
      <c r="G104" s="218">
        <f t="shared" si="15"/>
        <v>8.3333333333333329E-2</v>
      </c>
      <c r="H104" s="172">
        <f t="shared" si="16"/>
        <v>0.33333333333333331</v>
      </c>
      <c r="I104" s="165" t="s">
        <v>4</v>
      </c>
      <c r="J104" s="169" t="s">
        <v>4</v>
      </c>
      <c r="K104" s="171" t="s">
        <v>57</v>
      </c>
      <c r="L104" s="175">
        <f t="shared" si="17"/>
        <v>0</v>
      </c>
      <c r="M104" s="177" t="s">
        <v>4</v>
      </c>
      <c r="N104" s="157" t="s">
        <v>4</v>
      </c>
      <c r="O104" s="188" t="s">
        <v>4</v>
      </c>
      <c r="P104" s="180">
        <f t="shared" si="18"/>
        <v>0</v>
      </c>
      <c r="Q104" s="181" t="s">
        <v>4</v>
      </c>
      <c r="R104" s="156" t="s">
        <v>4</v>
      </c>
      <c r="S104" s="184" t="s">
        <v>4</v>
      </c>
      <c r="T104" s="186" t="s">
        <v>4</v>
      </c>
      <c r="U104" s="190">
        <f t="shared" si="19"/>
        <v>0</v>
      </c>
      <c r="V104" s="158" t="s">
        <v>4</v>
      </c>
      <c r="W104" s="193" t="s">
        <v>4</v>
      </c>
      <c r="X104" s="195" t="s">
        <v>4</v>
      </c>
      <c r="Y104" s="197" t="s">
        <v>4</v>
      </c>
      <c r="Z104" s="198" t="s">
        <v>58</v>
      </c>
      <c r="AA104" s="199" t="s">
        <v>110</v>
      </c>
      <c r="AB104" s="161" t="s">
        <v>594</v>
      </c>
      <c r="AC104" s="159" t="s">
        <v>595</v>
      </c>
    </row>
    <row r="105" spans="1:29" ht="19.5" customHeight="1">
      <c r="A105" s="207" t="s">
        <v>596</v>
      </c>
      <c r="B105" s="350" t="s">
        <v>597</v>
      </c>
      <c r="C105" s="208" t="s">
        <v>53</v>
      </c>
      <c r="D105" s="208" t="s">
        <v>54</v>
      </c>
      <c r="E105" s="322" t="s">
        <v>567</v>
      </c>
      <c r="F105" s="322" t="s">
        <v>598</v>
      </c>
      <c r="G105" s="218">
        <f t="shared" si="15"/>
        <v>0.79166666666666663</v>
      </c>
      <c r="H105" s="172">
        <f t="shared" si="16"/>
        <v>0.66666666666666663</v>
      </c>
      <c r="I105" s="163" t="s">
        <v>57</v>
      </c>
      <c r="J105" s="169" t="s">
        <v>4</v>
      </c>
      <c r="K105" s="171" t="s">
        <v>57</v>
      </c>
      <c r="L105" s="175">
        <f t="shared" si="17"/>
        <v>1</v>
      </c>
      <c r="M105" s="177" t="s">
        <v>57</v>
      </c>
      <c r="N105" s="157" t="s">
        <v>57</v>
      </c>
      <c r="O105" s="188" t="s">
        <v>57</v>
      </c>
      <c r="P105" s="180">
        <f t="shared" si="18"/>
        <v>0.75</v>
      </c>
      <c r="Q105" s="181" t="s">
        <v>57</v>
      </c>
      <c r="R105" s="156" t="s">
        <v>57</v>
      </c>
      <c r="S105" s="184" t="s">
        <v>4</v>
      </c>
      <c r="T105" s="186" t="s">
        <v>57</v>
      </c>
      <c r="U105" s="190">
        <f t="shared" si="19"/>
        <v>0.75</v>
      </c>
      <c r="V105" s="158" t="s">
        <v>57</v>
      </c>
      <c r="W105" s="193" t="s">
        <v>57</v>
      </c>
      <c r="X105" s="195" t="s">
        <v>57</v>
      </c>
      <c r="Y105" s="197" t="s">
        <v>4</v>
      </c>
      <c r="Z105" s="198" t="s">
        <v>87</v>
      </c>
      <c r="AA105" s="200" t="s">
        <v>59</v>
      </c>
      <c r="AB105" s="161" t="s">
        <v>599</v>
      </c>
      <c r="AC105" s="159" t="s">
        <v>600</v>
      </c>
    </row>
    <row r="106" spans="1:29" ht="19.5" customHeight="1">
      <c r="A106" s="160" t="s">
        <v>601</v>
      </c>
      <c r="B106" s="350" t="s">
        <v>602</v>
      </c>
      <c r="C106" s="208" t="s">
        <v>64</v>
      </c>
      <c r="D106" s="208" t="s">
        <v>72</v>
      </c>
      <c r="E106" s="322" t="s">
        <v>567</v>
      </c>
      <c r="F106" s="322" t="s">
        <v>603</v>
      </c>
      <c r="G106" s="218">
        <f t="shared" si="15"/>
        <v>8.3333333333333329E-2</v>
      </c>
      <c r="H106" s="172">
        <f t="shared" si="16"/>
        <v>0.33333333333333331</v>
      </c>
      <c r="I106" s="166" t="s">
        <v>4</v>
      </c>
      <c r="J106" s="169" t="s">
        <v>4</v>
      </c>
      <c r="K106" s="171" t="s">
        <v>57</v>
      </c>
      <c r="L106" s="175">
        <f t="shared" si="17"/>
        <v>0</v>
      </c>
      <c r="M106" s="177" t="s">
        <v>4</v>
      </c>
      <c r="N106" s="157" t="s">
        <v>4</v>
      </c>
      <c r="O106" s="188" t="s">
        <v>4</v>
      </c>
      <c r="P106" s="180">
        <f t="shared" si="18"/>
        <v>0</v>
      </c>
      <c r="Q106" s="181" t="s">
        <v>4</v>
      </c>
      <c r="R106" s="156" t="s">
        <v>4</v>
      </c>
      <c r="S106" s="184" t="s">
        <v>4</v>
      </c>
      <c r="T106" s="186" t="s">
        <v>4</v>
      </c>
      <c r="U106" s="190">
        <f t="shared" si="19"/>
        <v>0</v>
      </c>
      <c r="V106" s="158" t="s">
        <v>4</v>
      </c>
      <c r="W106" s="193" t="s">
        <v>4</v>
      </c>
      <c r="X106" s="195" t="s">
        <v>4</v>
      </c>
      <c r="Y106" s="197" t="s">
        <v>4</v>
      </c>
      <c r="Z106" s="198" t="s">
        <v>58</v>
      </c>
      <c r="AA106" s="201"/>
      <c r="AB106" s="161" t="s">
        <v>604</v>
      </c>
      <c r="AC106" s="159" t="s">
        <v>605</v>
      </c>
    </row>
    <row r="107" spans="1:29" ht="19.5" customHeight="1">
      <c r="A107" s="207" t="s">
        <v>606</v>
      </c>
      <c r="B107" s="350" t="s">
        <v>607</v>
      </c>
      <c r="C107" s="208" t="s">
        <v>53</v>
      </c>
      <c r="D107" s="208" t="s">
        <v>54</v>
      </c>
      <c r="E107" s="322" t="s">
        <v>567</v>
      </c>
      <c r="F107" s="322" t="s">
        <v>608</v>
      </c>
      <c r="G107" s="218">
        <f t="shared" si="15"/>
        <v>0.79166666666666663</v>
      </c>
      <c r="H107" s="172">
        <f t="shared" si="16"/>
        <v>0.66666666666666663</v>
      </c>
      <c r="I107" s="163" t="s">
        <v>57</v>
      </c>
      <c r="J107" s="169" t="s">
        <v>4</v>
      </c>
      <c r="K107" s="171" t="s">
        <v>57</v>
      </c>
      <c r="L107" s="175">
        <f t="shared" si="17"/>
        <v>1</v>
      </c>
      <c r="M107" s="177" t="s">
        <v>57</v>
      </c>
      <c r="N107" s="157" t="s">
        <v>57</v>
      </c>
      <c r="O107" s="188" t="s">
        <v>57</v>
      </c>
      <c r="P107" s="180">
        <f t="shared" si="18"/>
        <v>0.75</v>
      </c>
      <c r="Q107" s="181" t="s">
        <v>57</v>
      </c>
      <c r="R107" s="156" t="s">
        <v>4</v>
      </c>
      <c r="S107" s="184" t="s">
        <v>57</v>
      </c>
      <c r="T107" s="186" t="s">
        <v>57</v>
      </c>
      <c r="U107" s="190">
        <f t="shared" si="19"/>
        <v>0.75</v>
      </c>
      <c r="V107" s="158" t="s">
        <v>57</v>
      </c>
      <c r="W107" s="193" t="s">
        <v>4</v>
      </c>
      <c r="X107" s="195" t="s">
        <v>57</v>
      </c>
      <c r="Y107" s="197" t="s">
        <v>57</v>
      </c>
      <c r="Z107" s="198" t="s">
        <v>58</v>
      </c>
      <c r="AA107" s="199" t="s">
        <v>110</v>
      </c>
      <c r="AB107" s="161" t="s">
        <v>609</v>
      </c>
      <c r="AC107" s="159" t="s">
        <v>610</v>
      </c>
    </row>
    <row r="108" spans="1:29" ht="19.5" customHeight="1">
      <c r="A108" s="209" t="s">
        <v>611</v>
      </c>
      <c r="B108" s="350" t="s">
        <v>612</v>
      </c>
      <c r="C108" s="208" t="s">
        <v>64</v>
      </c>
      <c r="D108" s="208" t="s">
        <v>54</v>
      </c>
      <c r="E108" s="322" t="s">
        <v>567</v>
      </c>
      <c r="F108" s="322" t="s">
        <v>613</v>
      </c>
      <c r="G108" s="218">
        <f t="shared" si="15"/>
        <v>0.66666666666666663</v>
      </c>
      <c r="H108" s="172">
        <f t="shared" si="16"/>
        <v>1</v>
      </c>
      <c r="I108" s="164" t="s">
        <v>57</v>
      </c>
      <c r="J108" s="169" t="s">
        <v>57</v>
      </c>
      <c r="K108" s="171" t="s">
        <v>57</v>
      </c>
      <c r="L108" s="175">
        <f t="shared" si="17"/>
        <v>0.66666666666666663</v>
      </c>
      <c r="M108" s="177" t="s">
        <v>57</v>
      </c>
      <c r="N108" s="157" t="s">
        <v>57</v>
      </c>
      <c r="O108" s="188" t="s">
        <v>4</v>
      </c>
      <c r="P108" s="180">
        <f t="shared" si="18"/>
        <v>0.5</v>
      </c>
      <c r="Q108" s="181" t="s">
        <v>57</v>
      </c>
      <c r="R108" s="156" t="s">
        <v>4</v>
      </c>
      <c r="S108" s="184" t="s">
        <v>57</v>
      </c>
      <c r="T108" s="186" t="s">
        <v>4</v>
      </c>
      <c r="U108" s="190">
        <f t="shared" si="19"/>
        <v>0.5</v>
      </c>
      <c r="V108" s="158" t="s">
        <v>57</v>
      </c>
      <c r="W108" s="193" t="s">
        <v>4</v>
      </c>
      <c r="X108" s="195" t="s">
        <v>57</v>
      </c>
      <c r="Y108" s="197" t="s">
        <v>4</v>
      </c>
      <c r="Z108" s="198" t="s">
        <v>58</v>
      </c>
      <c r="AA108" s="199" t="s">
        <v>110</v>
      </c>
      <c r="AB108" s="161" t="s">
        <v>614</v>
      </c>
      <c r="AC108" s="159" t="s">
        <v>615</v>
      </c>
    </row>
    <row r="109" spans="1:29" ht="19.5" customHeight="1">
      <c r="A109" s="209" t="s">
        <v>616</v>
      </c>
      <c r="B109" s="350" t="s">
        <v>617</v>
      </c>
      <c r="C109" s="210" t="s">
        <v>53</v>
      </c>
      <c r="D109" s="208" t="s">
        <v>54</v>
      </c>
      <c r="E109" s="322" t="s">
        <v>567</v>
      </c>
      <c r="F109" s="322" t="s">
        <v>618</v>
      </c>
      <c r="G109" s="218">
        <f t="shared" si="15"/>
        <v>0</v>
      </c>
      <c r="H109" s="172">
        <f t="shared" si="16"/>
        <v>0</v>
      </c>
      <c r="I109" s="164" t="s">
        <v>4</v>
      </c>
      <c r="J109" s="169" t="s">
        <v>4</v>
      </c>
      <c r="K109" s="171" t="s">
        <v>4</v>
      </c>
      <c r="L109" s="175">
        <f t="shared" si="17"/>
        <v>0</v>
      </c>
      <c r="M109" s="177" t="s">
        <v>4</v>
      </c>
      <c r="N109" s="157" t="s">
        <v>4</v>
      </c>
      <c r="O109" s="188" t="s">
        <v>4</v>
      </c>
      <c r="P109" s="180">
        <f t="shared" si="18"/>
        <v>0</v>
      </c>
      <c r="Q109" s="181" t="s">
        <v>4</v>
      </c>
      <c r="R109" s="156" t="s">
        <v>4</v>
      </c>
      <c r="S109" s="184" t="s">
        <v>4</v>
      </c>
      <c r="T109" s="186" t="s">
        <v>4</v>
      </c>
      <c r="U109" s="190">
        <f t="shared" si="19"/>
        <v>0</v>
      </c>
      <c r="V109" s="158" t="s">
        <v>4</v>
      </c>
      <c r="W109" s="193" t="s">
        <v>4</v>
      </c>
      <c r="X109" s="195" t="s">
        <v>4</v>
      </c>
      <c r="Y109" s="197" t="s">
        <v>4</v>
      </c>
      <c r="Z109" s="198" t="s">
        <v>58</v>
      </c>
      <c r="AA109" s="199"/>
      <c r="AB109" s="161" t="s">
        <v>619</v>
      </c>
      <c r="AC109" s="159" t="s">
        <v>620</v>
      </c>
    </row>
    <row r="110" spans="1:29" ht="19.5" customHeight="1">
      <c r="A110" s="209" t="s">
        <v>621</v>
      </c>
      <c r="B110" s="350" t="s">
        <v>622</v>
      </c>
      <c r="C110" s="208" t="s">
        <v>64</v>
      </c>
      <c r="D110" s="208" t="s">
        <v>54</v>
      </c>
      <c r="E110" s="322" t="s">
        <v>567</v>
      </c>
      <c r="F110" s="322" t="s">
        <v>623</v>
      </c>
      <c r="G110" s="218">
        <f t="shared" si="15"/>
        <v>0.79166666666666663</v>
      </c>
      <c r="H110" s="172">
        <f t="shared" si="16"/>
        <v>1</v>
      </c>
      <c r="I110" s="164" t="s">
        <v>57</v>
      </c>
      <c r="J110" s="169" t="s">
        <v>57</v>
      </c>
      <c r="K110" s="171" t="s">
        <v>57</v>
      </c>
      <c r="L110" s="175">
        <f t="shared" si="17"/>
        <v>0.66666666666666663</v>
      </c>
      <c r="M110" s="177" t="s">
        <v>4</v>
      </c>
      <c r="N110" s="157" t="s">
        <v>57</v>
      </c>
      <c r="O110" s="188" t="s">
        <v>57</v>
      </c>
      <c r="P110" s="180">
        <f t="shared" si="18"/>
        <v>1</v>
      </c>
      <c r="Q110" s="181" t="s">
        <v>57</v>
      </c>
      <c r="R110" s="156" t="s">
        <v>57</v>
      </c>
      <c r="S110" s="184" t="s">
        <v>57</v>
      </c>
      <c r="T110" s="186" t="s">
        <v>57</v>
      </c>
      <c r="U110" s="190">
        <f t="shared" si="19"/>
        <v>0.5</v>
      </c>
      <c r="V110" s="158" t="s">
        <v>57</v>
      </c>
      <c r="W110" s="193" t="s">
        <v>4</v>
      </c>
      <c r="X110" s="195" t="s">
        <v>57</v>
      </c>
      <c r="Y110" s="197" t="s">
        <v>4</v>
      </c>
      <c r="Z110" s="198" t="s">
        <v>87</v>
      </c>
      <c r="AA110" s="199" t="s">
        <v>110</v>
      </c>
      <c r="AB110" s="161" t="s">
        <v>624</v>
      </c>
      <c r="AC110" s="159" t="s">
        <v>625</v>
      </c>
    </row>
    <row r="111" spans="1:29" ht="19.5" customHeight="1">
      <c r="A111" s="209" t="s">
        <v>626</v>
      </c>
      <c r="B111" s="350" t="s">
        <v>627</v>
      </c>
      <c r="C111" s="208" t="s">
        <v>64</v>
      </c>
      <c r="D111" s="208" t="s">
        <v>54</v>
      </c>
      <c r="E111" s="322" t="s">
        <v>567</v>
      </c>
      <c r="F111" s="322" t="s">
        <v>628</v>
      </c>
      <c r="G111" s="218">
        <f t="shared" si="15"/>
        <v>0.22916666666666666</v>
      </c>
      <c r="H111" s="172">
        <f t="shared" si="16"/>
        <v>0.33333333333333331</v>
      </c>
      <c r="I111" s="164" t="s">
        <v>4</v>
      </c>
      <c r="J111" s="169" t="s">
        <v>4</v>
      </c>
      <c r="K111" s="171" t="s">
        <v>57</v>
      </c>
      <c r="L111" s="175">
        <f t="shared" si="17"/>
        <v>0.33333333333333331</v>
      </c>
      <c r="M111" s="177" t="s">
        <v>57</v>
      </c>
      <c r="N111" s="157" t="s">
        <v>4</v>
      </c>
      <c r="O111" s="188" t="s">
        <v>4</v>
      </c>
      <c r="P111" s="180">
        <f t="shared" si="18"/>
        <v>0.25</v>
      </c>
      <c r="Q111" s="181" t="s">
        <v>57</v>
      </c>
      <c r="R111" s="156" t="s">
        <v>4</v>
      </c>
      <c r="S111" s="184" t="s">
        <v>4</v>
      </c>
      <c r="T111" s="186" t="s">
        <v>4</v>
      </c>
      <c r="U111" s="190">
        <f t="shared" si="19"/>
        <v>0</v>
      </c>
      <c r="V111" s="158" t="s">
        <v>4</v>
      </c>
      <c r="W111" s="193" t="s">
        <v>4</v>
      </c>
      <c r="X111" s="195" t="s">
        <v>4</v>
      </c>
      <c r="Y111" s="197"/>
      <c r="Z111" s="198" t="s">
        <v>58</v>
      </c>
      <c r="AA111" s="199" t="s">
        <v>59</v>
      </c>
      <c r="AB111" s="161" t="s">
        <v>629</v>
      </c>
      <c r="AC111" s="159" t="s">
        <v>630</v>
      </c>
    </row>
    <row r="112" spans="1:29" ht="19.5" customHeight="1">
      <c r="A112" s="209" t="s">
        <v>631</v>
      </c>
      <c r="B112" s="350" t="s">
        <v>632</v>
      </c>
      <c r="C112" s="208" t="s">
        <v>64</v>
      </c>
      <c r="D112" s="208" t="s">
        <v>72</v>
      </c>
      <c r="E112" s="322" t="s">
        <v>567</v>
      </c>
      <c r="F112" s="322" t="s">
        <v>633</v>
      </c>
      <c r="G112" s="218">
        <f t="shared" si="15"/>
        <v>0.27083333333333331</v>
      </c>
      <c r="H112" s="172">
        <f t="shared" si="16"/>
        <v>0.33333333333333331</v>
      </c>
      <c r="I112" s="164" t="s">
        <v>4</v>
      </c>
      <c r="J112" s="169" t="s">
        <v>4</v>
      </c>
      <c r="K112" s="171" t="s">
        <v>57</v>
      </c>
      <c r="L112" s="175">
        <f t="shared" si="17"/>
        <v>0</v>
      </c>
      <c r="M112" s="177" t="s">
        <v>4</v>
      </c>
      <c r="N112" s="157" t="s">
        <v>4</v>
      </c>
      <c r="O112" s="188" t="s">
        <v>4</v>
      </c>
      <c r="P112" s="180">
        <f t="shared" si="18"/>
        <v>0.25</v>
      </c>
      <c r="Q112" s="181" t="s">
        <v>4</v>
      </c>
      <c r="R112" s="156" t="s">
        <v>57</v>
      </c>
      <c r="S112" s="184" t="s">
        <v>4</v>
      </c>
      <c r="T112" s="186" t="s">
        <v>4</v>
      </c>
      <c r="U112" s="190">
        <f t="shared" si="19"/>
        <v>0.5</v>
      </c>
      <c r="V112" s="158" t="s">
        <v>57</v>
      </c>
      <c r="W112" s="193" t="s">
        <v>4</v>
      </c>
      <c r="X112" s="195" t="s">
        <v>57</v>
      </c>
      <c r="Y112" s="197" t="s">
        <v>4</v>
      </c>
      <c r="Z112" s="198" t="s">
        <v>87</v>
      </c>
      <c r="AA112" s="199" t="s">
        <v>110</v>
      </c>
      <c r="AB112" s="161" t="s">
        <v>634</v>
      </c>
      <c r="AC112" s="159" t="s">
        <v>635</v>
      </c>
    </row>
    <row r="113" spans="1:29" ht="19.5" customHeight="1">
      <c r="A113" s="209" t="s">
        <v>636</v>
      </c>
      <c r="B113" s="350" t="s">
        <v>637</v>
      </c>
      <c r="C113" s="210" t="s">
        <v>64</v>
      </c>
      <c r="D113" s="208" t="s">
        <v>54</v>
      </c>
      <c r="E113" s="322" t="s">
        <v>567</v>
      </c>
      <c r="F113" s="322" t="s">
        <v>638</v>
      </c>
      <c r="G113" s="218">
        <f t="shared" si="15"/>
        <v>0.25</v>
      </c>
      <c r="H113" s="172">
        <f t="shared" si="16"/>
        <v>0.66666666666666663</v>
      </c>
      <c r="I113" s="164" t="s">
        <v>4</v>
      </c>
      <c r="J113" s="169" t="s">
        <v>57</v>
      </c>
      <c r="K113" s="171" t="s">
        <v>57</v>
      </c>
      <c r="L113" s="175">
        <f t="shared" si="17"/>
        <v>0.33333333333333331</v>
      </c>
      <c r="M113" s="177" t="s">
        <v>4</v>
      </c>
      <c r="N113" s="157" t="s">
        <v>57</v>
      </c>
      <c r="O113" s="188" t="s">
        <v>4</v>
      </c>
      <c r="P113" s="180">
        <f t="shared" si="18"/>
        <v>0</v>
      </c>
      <c r="Q113" s="181" t="s">
        <v>4</v>
      </c>
      <c r="R113" s="156" t="s">
        <v>4</v>
      </c>
      <c r="S113" s="184" t="s">
        <v>4</v>
      </c>
      <c r="T113" s="186" t="s">
        <v>4</v>
      </c>
      <c r="U113" s="190">
        <f t="shared" si="19"/>
        <v>0</v>
      </c>
      <c r="V113" s="158" t="s">
        <v>4</v>
      </c>
      <c r="W113" s="193" t="s">
        <v>4</v>
      </c>
      <c r="X113" s="195" t="s">
        <v>4</v>
      </c>
      <c r="Y113" s="197" t="s">
        <v>4</v>
      </c>
      <c r="Z113" s="198" t="s">
        <v>87</v>
      </c>
      <c r="AA113" s="199" t="s">
        <v>59</v>
      </c>
      <c r="AB113" s="161" t="s">
        <v>639</v>
      </c>
      <c r="AC113" s="159" t="s">
        <v>640</v>
      </c>
    </row>
    <row r="114" spans="1:29" ht="19.5" customHeight="1">
      <c r="A114" s="207" t="s">
        <v>641</v>
      </c>
      <c r="B114" s="350" t="s">
        <v>642</v>
      </c>
      <c r="C114" s="208" t="s">
        <v>64</v>
      </c>
      <c r="D114" s="208" t="s">
        <v>54</v>
      </c>
      <c r="E114" s="322" t="s">
        <v>567</v>
      </c>
      <c r="F114" s="322" t="s">
        <v>643</v>
      </c>
      <c r="G114" s="218">
        <f t="shared" si="15"/>
        <v>0.5</v>
      </c>
      <c r="H114" s="172">
        <f t="shared" si="16"/>
        <v>0.33333333333333331</v>
      </c>
      <c r="I114" s="163" t="s">
        <v>4</v>
      </c>
      <c r="J114" s="169" t="s">
        <v>4</v>
      </c>
      <c r="K114" s="171" t="s">
        <v>57</v>
      </c>
      <c r="L114" s="175">
        <f t="shared" si="17"/>
        <v>0.66666666666666663</v>
      </c>
      <c r="M114" s="177" t="s">
        <v>57</v>
      </c>
      <c r="N114" s="157" t="s">
        <v>4</v>
      </c>
      <c r="O114" s="188" t="s">
        <v>57</v>
      </c>
      <c r="P114" s="180">
        <f t="shared" si="18"/>
        <v>0.5</v>
      </c>
      <c r="Q114" s="181" t="s">
        <v>57</v>
      </c>
      <c r="R114" s="156" t="s">
        <v>57</v>
      </c>
      <c r="S114" s="184" t="s">
        <v>4</v>
      </c>
      <c r="T114" s="186" t="s">
        <v>4</v>
      </c>
      <c r="U114" s="190">
        <f t="shared" si="19"/>
        <v>0.5</v>
      </c>
      <c r="V114" s="158" t="s">
        <v>57</v>
      </c>
      <c r="W114" s="193" t="s">
        <v>4</v>
      </c>
      <c r="X114" s="195" t="s">
        <v>57</v>
      </c>
      <c r="Y114" s="197" t="s">
        <v>4</v>
      </c>
      <c r="Z114" s="198" t="s">
        <v>87</v>
      </c>
      <c r="AA114" s="200" t="s">
        <v>59</v>
      </c>
      <c r="AB114" s="161" t="s">
        <v>644</v>
      </c>
      <c r="AC114" s="159" t="s">
        <v>645</v>
      </c>
    </row>
    <row r="115" spans="1:29" ht="19.5" customHeight="1">
      <c r="A115" s="209" t="s">
        <v>646</v>
      </c>
      <c r="B115" s="350" t="s">
        <v>647</v>
      </c>
      <c r="C115" s="208" t="s">
        <v>64</v>
      </c>
      <c r="D115" s="208" t="s">
        <v>54</v>
      </c>
      <c r="E115" s="322" t="s">
        <v>567</v>
      </c>
      <c r="F115" s="322" t="s">
        <v>648</v>
      </c>
      <c r="G115" s="218">
        <f t="shared" si="15"/>
        <v>0.79166666666666663</v>
      </c>
      <c r="H115" s="172">
        <f t="shared" si="16"/>
        <v>1</v>
      </c>
      <c r="I115" s="164" t="s">
        <v>57</v>
      </c>
      <c r="J115" s="169" t="s">
        <v>57</v>
      </c>
      <c r="K115" s="171" t="s">
        <v>57</v>
      </c>
      <c r="L115" s="175">
        <f t="shared" si="17"/>
        <v>0.66666666666666663</v>
      </c>
      <c r="M115" s="177" t="s">
        <v>57</v>
      </c>
      <c r="N115" s="157" t="s">
        <v>57</v>
      </c>
      <c r="O115" s="188" t="s">
        <v>4</v>
      </c>
      <c r="P115" s="180">
        <f t="shared" si="18"/>
        <v>1</v>
      </c>
      <c r="Q115" s="181" t="s">
        <v>57</v>
      </c>
      <c r="R115" s="156" t="s">
        <v>57</v>
      </c>
      <c r="S115" s="184" t="s">
        <v>57</v>
      </c>
      <c r="T115" s="186" t="s">
        <v>57</v>
      </c>
      <c r="U115" s="190">
        <f t="shared" si="19"/>
        <v>0.5</v>
      </c>
      <c r="V115" s="158" t="s">
        <v>57</v>
      </c>
      <c r="W115" s="193" t="s">
        <v>4</v>
      </c>
      <c r="X115" s="195" t="s">
        <v>57</v>
      </c>
      <c r="Y115" s="197" t="s">
        <v>4</v>
      </c>
      <c r="Z115" s="198" t="s">
        <v>87</v>
      </c>
      <c r="AA115" s="199" t="s">
        <v>110</v>
      </c>
      <c r="AB115" s="161" t="s">
        <v>649</v>
      </c>
      <c r="AC115" s="159" t="s">
        <v>650</v>
      </c>
    </row>
    <row r="116" spans="1:29" ht="19.5" customHeight="1">
      <c r="A116" s="160" t="s">
        <v>651</v>
      </c>
      <c r="B116" s="350" t="s">
        <v>652</v>
      </c>
      <c r="C116" s="210" t="s">
        <v>129</v>
      </c>
      <c r="D116" s="208" t="s">
        <v>54</v>
      </c>
      <c r="E116" s="322" t="s">
        <v>653</v>
      </c>
      <c r="F116" s="322" t="s">
        <v>654</v>
      </c>
      <c r="G116" s="218">
        <f t="shared" si="15"/>
        <v>0.6875</v>
      </c>
      <c r="H116" s="172">
        <f t="shared" si="16"/>
        <v>0.33333333333333331</v>
      </c>
      <c r="I116" s="166" t="s">
        <v>4</v>
      </c>
      <c r="J116" s="169" t="s">
        <v>57</v>
      </c>
      <c r="K116" s="171" t="s">
        <v>4</v>
      </c>
      <c r="L116" s="175">
        <f t="shared" si="17"/>
        <v>0.66666666666666663</v>
      </c>
      <c r="M116" s="177" t="s">
        <v>4</v>
      </c>
      <c r="N116" s="157" t="s">
        <v>57</v>
      </c>
      <c r="O116" s="188" t="s">
        <v>57</v>
      </c>
      <c r="P116" s="180">
        <f t="shared" si="18"/>
        <v>1</v>
      </c>
      <c r="Q116" s="181" t="s">
        <v>57</v>
      </c>
      <c r="R116" s="156" t="s">
        <v>57</v>
      </c>
      <c r="S116" s="184" t="s">
        <v>57</v>
      </c>
      <c r="T116" s="186" t="s">
        <v>57</v>
      </c>
      <c r="U116" s="190">
        <f t="shared" si="19"/>
        <v>0.75</v>
      </c>
      <c r="V116" s="158" t="s">
        <v>57</v>
      </c>
      <c r="W116" s="193" t="s">
        <v>57</v>
      </c>
      <c r="X116" s="195" t="s">
        <v>57</v>
      </c>
      <c r="Y116" s="197" t="s">
        <v>4</v>
      </c>
      <c r="Z116" s="198" t="s">
        <v>58</v>
      </c>
      <c r="AA116" s="201" t="s">
        <v>59</v>
      </c>
      <c r="AB116" s="161" t="s">
        <v>655</v>
      </c>
      <c r="AC116" s="159" t="s">
        <v>656</v>
      </c>
    </row>
    <row r="117" spans="1:29" ht="19.5" customHeight="1">
      <c r="A117" s="209" t="s">
        <v>657</v>
      </c>
      <c r="B117" s="350" t="s">
        <v>658</v>
      </c>
      <c r="C117" s="208" t="s">
        <v>64</v>
      </c>
      <c r="D117" s="208" t="s">
        <v>54</v>
      </c>
      <c r="E117" s="322" t="s">
        <v>653</v>
      </c>
      <c r="F117" s="322" t="s">
        <v>659</v>
      </c>
      <c r="G117" s="218">
        <f t="shared" si="15"/>
        <v>0.5</v>
      </c>
      <c r="H117" s="172">
        <f t="shared" si="16"/>
        <v>0.66666666666666663</v>
      </c>
      <c r="I117" s="164" t="s">
        <v>57</v>
      </c>
      <c r="J117" s="169" t="s">
        <v>4</v>
      </c>
      <c r="K117" s="171" t="s">
        <v>57</v>
      </c>
      <c r="L117" s="175">
        <f t="shared" si="17"/>
        <v>0.33333333333333331</v>
      </c>
      <c r="M117" s="177" t="s">
        <v>57</v>
      </c>
      <c r="N117" s="157" t="s">
        <v>4</v>
      </c>
      <c r="O117" s="188" t="s">
        <v>4</v>
      </c>
      <c r="P117" s="180">
        <f t="shared" si="18"/>
        <v>0.5</v>
      </c>
      <c r="Q117" s="181" t="s">
        <v>4</v>
      </c>
      <c r="R117" s="156" t="s">
        <v>4</v>
      </c>
      <c r="S117" s="184" t="s">
        <v>57</v>
      </c>
      <c r="T117" s="186" t="s">
        <v>57</v>
      </c>
      <c r="U117" s="190">
        <f t="shared" si="19"/>
        <v>0.5</v>
      </c>
      <c r="V117" s="158" t="s">
        <v>57</v>
      </c>
      <c r="W117" s="193" t="s">
        <v>4</v>
      </c>
      <c r="X117" s="195" t="s">
        <v>57</v>
      </c>
      <c r="Y117" s="197" t="s">
        <v>4</v>
      </c>
      <c r="Z117" s="198" t="s">
        <v>87</v>
      </c>
      <c r="AA117" s="199" t="s">
        <v>67</v>
      </c>
      <c r="AB117" s="161" t="s">
        <v>660</v>
      </c>
      <c r="AC117" s="159" t="s">
        <v>661</v>
      </c>
    </row>
    <row r="118" spans="1:29" ht="19.5" customHeight="1">
      <c r="A118" s="209" t="s">
        <v>662</v>
      </c>
      <c r="B118" s="350" t="s">
        <v>663</v>
      </c>
      <c r="C118" s="208" t="s">
        <v>64</v>
      </c>
      <c r="D118" s="208" t="s">
        <v>54</v>
      </c>
      <c r="E118" s="322" t="s">
        <v>653</v>
      </c>
      <c r="F118" s="322" t="s">
        <v>664</v>
      </c>
      <c r="G118" s="218">
        <f t="shared" si="15"/>
        <v>0.60416666666666663</v>
      </c>
      <c r="H118" s="172">
        <f t="shared" si="16"/>
        <v>0</v>
      </c>
      <c r="I118" s="164" t="s">
        <v>4</v>
      </c>
      <c r="J118" s="169" t="s">
        <v>4</v>
      </c>
      <c r="K118" s="171" t="s">
        <v>4</v>
      </c>
      <c r="L118" s="175">
        <f t="shared" si="17"/>
        <v>0.66666666666666663</v>
      </c>
      <c r="M118" s="177" t="s">
        <v>4</v>
      </c>
      <c r="N118" s="157" t="s">
        <v>57</v>
      </c>
      <c r="O118" s="188" t="s">
        <v>57</v>
      </c>
      <c r="P118" s="180">
        <f t="shared" si="18"/>
        <v>1</v>
      </c>
      <c r="Q118" s="181" t="s">
        <v>57</v>
      </c>
      <c r="R118" s="156" t="s">
        <v>57</v>
      </c>
      <c r="S118" s="184" t="s">
        <v>57</v>
      </c>
      <c r="T118" s="186" t="s">
        <v>57</v>
      </c>
      <c r="U118" s="190">
        <f t="shared" si="19"/>
        <v>0.75</v>
      </c>
      <c r="V118" s="158" t="s">
        <v>57</v>
      </c>
      <c r="W118" s="193" t="s">
        <v>57</v>
      </c>
      <c r="X118" s="195" t="s">
        <v>57</v>
      </c>
      <c r="Y118" s="197" t="s">
        <v>4</v>
      </c>
      <c r="Z118" s="198" t="s">
        <v>87</v>
      </c>
      <c r="AA118" s="199" t="s">
        <v>110</v>
      </c>
      <c r="AB118" s="161" t="s">
        <v>665</v>
      </c>
      <c r="AC118" s="159" t="s">
        <v>666</v>
      </c>
    </row>
    <row r="119" spans="1:29" ht="19.5" customHeight="1">
      <c r="A119" s="209" t="s">
        <v>667</v>
      </c>
      <c r="B119" s="350" t="s">
        <v>668</v>
      </c>
      <c r="C119" s="208" t="s">
        <v>64</v>
      </c>
      <c r="D119" s="208" t="s">
        <v>54</v>
      </c>
      <c r="E119" s="322" t="s">
        <v>653</v>
      </c>
      <c r="F119" s="322" t="s">
        <v>669</v>
      </c>
      <c r="G119" s="218">
        <f t="shared" si="15"/>
        <v>0.58333333333333326</v>
      </c>
      <c r="H119" s="172">
        <f t="shared" si="16"/>
        <v>0.66666666666666663</v>
      </c>
      <c r="I119" s="164" t="s">
        <v>57</v>
      </c>
      <c r="J119" s="169" t="s">
        <v>4</v>
      </c>
      <c r="K119" s="171" t="s">
        <v>57</v>
      </c>
      <c r="L119" s="175">
        <f t="shared" si="17"/>
        <v>0.66666666666666663</v>
      </c>
      <c r="M119" s="177" t="s">
        <v>57</v>
      </c>
      <c r="N119" s="157" t="s">
        <v>57</v>
      </c>
      <c r="O119" s="188" t="s">
        <v>4</v>
      </c>
      <c r="P119" s="180">
        <f t="shared" si="18"/>
        <v>0.5</v>
      </c>
      <c r="Q119" s="181" t="s">
        <v>4</v>
      </c>
      <c r="R119" s="156" t="s">
        <v>57</v>
      </c>
      <c r="S119" s="184" t="s">
        <v>4</v>
      </c>
      <c r="T119" s="186" t="s">
        <v>57</v>
      </c>
      <c r="U119" s="190">
        <f t="shared" si="19"/>
        <v>0.5</v>
      </c>
      <c r="V119" s="158" t="s">
        <v>57</v>
      </c>
      <c r="W119" s="193" t="s">
        <v>4</v>
      </c>
      <c r="X119" s="195" t="s">
        <v>57</v>
      </c>
      <c r="Y119" s="197" t="s">
        <v>4</v>
      </c>
      <c r="Z119" s="198" t="s">
        <v>87</v>
      </c>
      <c r="AA119" s="199" t="s">
        <v>110</v>
      </c>
      <c r="AB119" s="161" t="s">
        <v>670</v>
      </c>
      <c r="AC119" s="159" t="s">
        <v>671</v>
      </c>
    </row>
    <row r="120" spans="1:29" ht="19.5" customHeight="1">
      <c r="A120" s="207" t="s">
        <v>672</v>
      </c>
      <c r="B120" s="350" t="s">
        <v>673</v>
      </c>
      <c r="C120" s="208" t="s">
        <v>64</v>
      </c>
      <c r="D120" s="208" t="s">
        <v>54</v>
      </c>
      <c r="E120" s="322" t="s">
        <v>653</v>
      </c>
      <c r="F120" s="322" t="s">
        <v>674</v>
      </c>
      <c r="G120" s="218">
        <f t="shared" si="15"/>
        <v>0.58333333333333326</v>
      </c>
      <c r="H120" s="172">
        <f t="shared" si="16"/>
        <v>0.66666666666666663</v>
      </c>
      <c r="I120" s="163" t="s">
        <v>57</v>
      </c>
      <c r="J120" s="169" t="s">
        <v>4</v>
      </c>
      <c r="K120" s="171" t="s">
        <v>57</v>
      </c>
      <c r="L120" s="175">
        <f t="shared" si="17"/>
        <v>0.66666666666666663</v>
      </c>
      <c r="M120" s="177" t="s">
        <v>57</v>
      </c>
      <c r="N120" s="157" t="s">
        <v>57</v>
      </c>
      <c r="O120" s="188" t="s">
        <v>4</v>
      </c>
      <c r="P120" s="180">
        <f t="shared" si="18"/>
        <v>0.5</v>
      </c>
      <c r="Q120" s="181" t="s">
        <v>4</v>
      </c>
      <c r="R120" s="156" t="s">
        <v>57</v>
      </c>
      <c r="S120" s="184" t="s">
        <v>4</v>
      </c>
      <c r="T120" s="186" t="s">
        <v>57</v>
      </c>
      <c r="U120" s="190">
        <f t="shared" si="19"/>
        <v>0.5</v>
      </c>
      <c r="V120" s="158" t="s">
        <v>57</v>
      </c>
      <c r="W120" s="193" t="s">
        <v>4</v>
      </c>
      <c r="X120" s="195" t="s">
        <v>57</v>
      </c>
      <c r="Y120" s="197" t="s">
        <v>4</v>
      </c>
      <c r="Z120" s="198" t="s">
        <v>87</v>
      </c>
      <c r="AA120" s="199" t="s">
        <v>110</v>
      </c>
      <c r="AB120" s="161" t="s">
        <v>675</v>
      </c>
      <c r="AC120" s="159" t="s">
        <v>676</v>
      </c>
    </row>
    <row r="121" spans="1:29" ht="19.5" customHeight="1">
      <c r="A121" s="209" t="s">
        <v>677</v>
      </c>
      <c r="B121" s="350" t="s">
        <v>678</v>
      </c>
      <c r="C121" s="208" t="s">
        <v>64</v>
      </c>
      <c r="D121" s="208" t="s">
        <v>54</v>
      </c>
      <c r="E121" s="322" t="s">
        <v>219</v>
      </c>
      <c r="F121" s="322" t="s">
        <v>679</v>
      </c>
      <c r="G121" s="218">
        <f t="shared" si="15"/>
        <v>0.91666666666666663</v>
      </c>
      <c r="H121" s="172">
        <f t="shared" si="16"/>
        <v>1</v>
      </c>
      <c r="I121" s="164" t="s">
        <v>57</v>
      </c>
      <c r="J121" s="169" t="s">
        <v>57</v>
      </c>
      <c r="K121" s="171" t="s">
        <v>57</v>
      </c>
      <c r="L121" s="175">
        <f t="shared" si="17"/>
        <v>0.66666666666666663</v>
      </c>
      <c r="M121" s="177" t="s">
        <v>57</v>
      </c>
      <c r="N121" s="157" t="s">
        <v>57</v>
      </c>
      <c r="O121" s="188" t="s">
        <v>4</v>
      </c>
      <c r="P121" s="180">
        <f t="shared" si="18"/>
        <v>1</v>
      </c>
      <c r="Q121" s="181" t="s">
        <v>57</v>
      </c>
      <c r="R121" s="156" t="s">
        <v>57</v>
      </c>
      <c r="S121" s="184" t="s">
        <v>57</v>
      </c>
      <c r="T121" s="186" t="s">
        <v>57</v>
      </c>
      <c r="U121" s="190">
        <f t="shared" si="19"/>
        <v>1</v>
      </c>
      <c r="V121" s="158" t="s">
        <v>57</v>
      </c>
      <c r="W121" s="193" t="s">
        <v>57</v>
      </c>
      <c r="X121" s="195" t="s">
        <v>57</v>
      </c>
      <c r="Y121" s="197" t="s">
        <v>57</v>
      </c>
      <c r="Z121" s="198" t="s">
        <v>87</v>
      </c>
      <c r="AA121" s="199" t="s">
        <v>110</v>
      </c>
      <c r="AB121" s="161" t="s">
        <v>680</v>
      </c>
      <c r="AC121" s="159" t="s">
        <v>681</v>
      </c>
    </row>
    <row r="122" spans="1:29" ht="19.5" customHeight="1">
      <c r="A122" s="209" t="s">
        <v>682</v>
      </c>
      <c r="B122" s="350" t="s">
        <v>683</v>
      </c>
      <c r="C122" s="208" t="s">
        <v>64</v>
      </c>
      <c r="D122" s="208" t="s">
        <v>54</v>
      </c>
      <c r="E122" s="322" t="s">
        <v>219</v>
      </c>
      <c r="F122" s="322" t="s">
        <v>684</v>
      </c>
      <c r="G122" s="218">
        <f t="shared" si="15"/>
        <v>0.9375</v>
      </c>
      <c r="H122" s="172">
        <f t="shared" si="16"/>
        <v>1</v>
      </c>
      <c r="I122" s="164" t="s">
        <v>57</v>
      </c>
      <c r="J122" s="169" t="s">
        <v>57</v>
      </c>
      <c r="K122" s="171" t="s">
        <v>57</v>
      </c>
      <c r="L122" s="175">
        <f t="shared" si="17"/>
        <v>1</v>
      </c>
      <c r="M122" s="177" t="s">
        <v>57</v>
      </c>
      <c r="N122" s="157" t="s">
        <v>57</v>
      </c>
      <c r="O122" s="188" t="s">
        <v>57</v>
      </c>
      <c r="P122" s="180">
        <f t="shared" si="18"/>
        <v>0.75</v>
      </c>
      <c r="Q122" s="181" t="s">
        <v>57</v>
      </c>
      <c r="R122" s="156" t="s">
        <v>57</v>
      </c>
      <c r="S122" s="184" t="s">
        <v>4</v>
      </c>
      <c r="T122" s="186" t="s">
        <v>57</v>
      </c>
      <c r="U122" s="190">
        <f t="shared" si="19"/>
        <v>1</v>
      </c>
      <c r="V122" s="158" t="s">
        <v>57</v>
      </c>
      <c r="W122" s="193" t="s">
        <v>57</v>
      </c>
      <c r="X122" s="195" t="s">
        <v>57</v>
      </c>
      <c r="Y122" s="197" t="s">
        <v>500</v>
      </c>
      <c r="Z122" s="198" t="s">
        <v>178</v>
      </c>
      <c r="AA122" s="199" t="s">
        <v>110</v>
      </c>
      <c r="AB122" s="161" t="s">
        <v>685</v>
      </c>
      <c r="AC122" s="159" t="s">
        <v>686</v>
      </c>
    </row>
    <row r="123" spans="1:29" ht="19.5" customHeight="1">
      <c r="A123" s="209" t="s">
        <v>687</v>
      </c>
      <c r="B123" s="350" t="s">
        <v>688</v>
      </c>
      <c r="C123" s="208" t="s">
        <v>64</v>
      </c>
      <c r="D123" s="208" t="s">
        <v>54</v>
      </c>
      <c r="E123" s="322" t="s">
        <v>219</v>
      </c>
      <c r="F123" s="322" t="s">
        <v>689</v>
      </c>
      <c r="G123" s="218">
        <f t="shared" si="15"/>
        <v>0.9375</v>
      </c>
      <c r="H123" s="172">
        <f t="shared" si="16"/>
        <v>1</v>
      </c>
      <c r="I123" s="164" t="s">
        <v>57</v>
      </c>
      <c r="J123" s="169" t="s">
        <v>57</v>
      </c>
      <c r="K123" s="171" t="s">
        <v>57</v>
      </c>
      <c r="L123" s="175">
        <f t="shared" si="17"/>
        <v>1</v>
      </c>
      <c r="M123" s="177" t="s">
        <v>57</v>
      </c>
      <c r="N123" s="157" t="s">
        <v>57</v>
      </c>
      <c r="O123" s="188" t="s">
        <v>57</v>
      </c>
      <c r="P123" s="180">
        <f t="shared" si="18"/>
        <v>1</v>
      </c>
      <c r="Q123" s="181" t="s">
        <v>57</v>
      </c>
      <c r="R123" s="156" t="s">
        <v>57</v>
      </c>
      <c r="S123" s="184" t="s">
        <v>57</v>
      </c>
      <c r="T123" s="186" t="s">
        <v>57</v>
      </c>
      <c r="U123" s="190">
        <f t="shared" si="19"/>
        <v>0.75</v>
      </c>
      <c r="V123" s="158" t="s">
        <v>57</v>
      </c>
      <c r="W123" s="193" t="s">
        <v>57</v>
      </c>
      <c r="X123" s="195" t="s">
        <v>57</v>
      </c>
      <c r="Y123" s="197" t="s">
        <v>4</v>
      </c>
      <c r="Z123" s="198" t="s">
        <v>178</v>
      </c>
      <c r="AA123" s="199" t="s">
        <v>110</v>
      </c>
      <c r="AB123" s="161" t="s">
        <v>690</v>
      </c>
      <c r="AC123" s="159" t="s">
        <v>691</v>
      </c>
    </row>
    <row r="124" spans="1:29" ht="19.5" customHeight="1">
      <c r="A124" s="207" t="s">
        <v>692</v>
      </c>
      <c r="B124" s="351" t="s">
        <v>693</v>
      </c>
      <c r="C124" s="208" t="s">
        <v>64</v>
      </c>
      <c r="D124" s="208" t="s">
        <v>72</v>
      </c>
      <c r="E124" s="322" t="s">
        <v>219</v>
      </c>
      <c r="F124" s="322" t="s">
        <v>694</v>
      </c>
      <c r="G124" s="218">
        <f t="shared" si="15"/>
        <v>0.9375</v>
      </c>
      <c r="H124" s="172">
        <f t="shared" si="16"/>
        <v>1</v>
      </c>
      <c r="I124" s="163" t="s">
        <v>57</v>
      </c>
      <c r="J124" s="169" t="s">
        <v>57</v>
      </c>
      <c r="K124" s="171" t="s">
        <v>57</v>
      </c>
      <c r="L124" s="175">
        <f t="shared" si="17"/>
        <v>1</v>
      </c>
      <c r="M124" s="177" t="s">
        <v>57</v>
      </c>
      <c r="N124" s="157" t="s">
        <v>57</v>
      </c>
      <c r="O124" s="188" t="s">
        <v>57</v>
      </c>
      <c r="P124" s="180">
        <f t="shared" si="18"/>
        <v>1</v>
      </c>
      <c r="Q124" s="181" t="s">
        <v>57</v>
      </c>
      <c r="R124" s="156" t="s">
        <v>57</v>
      </c>
      <c r="S124" s="184" t="s">
        <v>57</v>
      </c>
      <c r="T124" s="186" t="s">
        <v>57</v>
      </c>
      <c r="U124" s="190">
        <f t="shared" si="19"/>
        <v>0.75</v>
      </c>
      <c r="V124" s="158" t="s">
        <v>57</v>
      </c>
      <c r="W124" s="193" t="s">
        <v>57</v>
      </c>
      <c r="X124" s="195" t="s">
        <v>57</v>
      </c>
      <c r="Y124" s="197" t="s">
        <v>4</v>
      </c>
      <c r="Z124" s="198" t="s">
        <v>363</v>
      </c>
      <c r="AA124" s="199" t="s">
        <v>110</v>
      </c>
      <c r="AB124" s="161" t="s">
        <v>695</v>
      </c>
      <c r="AC124" s="159" t="s">
        <v>696</v>
      </c>
    </row>
    <row r="125" spans="1:29" ht="19.5" customHeight="1">
      <c r="A125" s="207" t="s">
        <v>697</v>
      </c>
      <c r="B125" s="350" t="s">
        <v>698</v>
      </c>
      <c r="C125" s="208" t="s">
        <v>64</v>
      </c>
      <c r="D125" s="208" t="s">
        <v>72</v>
      </c>
      <c r="E125" s="322" t="s">
        <v>219</v>
      </c>
      <c r="F125" s="322" t="s">
        <v>699</v>
      </c>
      <c r="G125" s="218">
        <f t="shared" si="15"/>
        <v>0.9375</v>
      </c>
      <c r="H125" s="172">
        <f t="shared" si="16"/>
        <v>1</v>
      </c>
      <c r="I125" s="163" t="s">
        <v>57</v>
      </c>
      <c r="J125" s="169" t="s">
        <v>57</v>
      </c>
      <c r="K125" s="171" t="s">
        <v>57</v>
      </c>
      <c r="L125" s="175">
        <f t="shared" si="17"/>
        <v>1</v>
      </c>
      <c r="M125" s="177" t="s">
        <v>57</v>
      </c>
      <c r="N125" s="157" t="s">
        <v>57</v>
      </c>
      <c r="O125" s="188" t="s">
        <v>57</v>
      </c>
      <c r="P125" s="180">
        <f t="shared" si="18"/>
        <v>1</v>
      </c>
      <c r="Q125" s="181" t="s">
        <v>57</v>
      </c>
      <c r="R125" s="156" t="s">
        <v>57</v>
      </c>
      <c r="S125" s="184" t="s">
        <v>57</v>
      </c>
      <c r="T125" s="186" t="s">
        <v>57</v>
      </c>
      <c r="U125" s="190">
        <f t="shared" si="19"/>
        <v>0.75</v>
      </c>
      <c r="V125" s="158" t="s">
        <v>57</v>
      </c>
      <c r="W125" s="193" t="s">
        <v>57</v>
      </c>
      <c r="X125" s="195" t="s">
        <v>57</v>
      </c>
      <c r="Y125" s="197" t="s">
        <v>4</v>
      </c>
      <c r="Z125" s="198" t="s">
        <v>87</v>
      </c>
      <c r="AA125" s="200" t="s">
        <v>110</v>
      </c>
      <c r="AB125" s="161" t="s">
        <v>700</v>
      </c>
      <c r="AC125" s="159" t="s">
        <v>701</v>
      </c>
    </row>
    <row r="126" spans="1:29" ht="19.5" customHeight="1">
      <c r="A126" s="207" t="s">
        <v>702</v>
      </c>
      <c r="B126" s="350" t="s">
        <v>703</v>
      </c>
      <c r="C126" s="208" t="s">
        <v>2</v>
      </c>
      <c r="D126" s="208" t="s">
        <v>54</v>
      </c>
      <c r="E126" s="322" t="s">
        <v>219</v>
      </c>
      <c r="F126" s="322" t="s">
        <v>704</v>
      </c>
      <c r="G126" s="218">
        <f t="shared" si="15"/>
        <v>0.9375</v>
      </c>
      <c r="H126" s="172">
        <f t="shared" si="16"/>
        <v>1</v>
      </c>
      <c r="I126" s="163" t="s">
        <v>57</v>
      </c>
      <c r="J126" s="169" t="s">
        <v>57</v>
      </c>
      <c r="K126" s="171" t="s">
        <v>57</v>
      </c>
      <c r="L126" s="175">
        <f t="shared" si="17"/>
        <v>1</v>
      </c>
      <c r="M126" s="177" t="s">
        <v>57</v>
      </c>
      <c r="N126" s="157" t="s">
        <v>57</v>
      </c>
      <c r="O126" s="188" t="s">
        <v>57</v>
      </c>
      <c r="P126" s="180">
        <f t="shared" si="18"/>
        <v>1</v>
      </c>
      <c r="Q126" s="181" t="s">
        <v>57</v>
      </c>
      <c r="R126" s="156" t="s">
        <v>57</v>
      </c>
      <c r="S126" s="184" t="s">
        <v>57</v>
      </c>
      <c r="T126" s="186" t="s">
        <v>57</v>
      </c>
      <c r="U126" s="190">
        <f t="shared" si="19"/>
        <v>0.75</v>
      </c>
      <c r="V126" s="158" t="s">
        <v>57</v>
      </c>
      <c r="W126" s="193" t="s">
        <v>57</v>
      </c>
      <c r="X126" s="195" t="s">
        <v>57</v>
      </c>
      <c r="Y126" s="197" t="s">
        <v>4</v>
      </c>
      <c r="Z126" s="198" t="s">
        <v>87</v>
      </c>
      <c r="AA126" s="199" t="s">
        <v>110</v>
      </c>
      <c r="AB126" s="161" t="s">
        <v>705</v>
      </c>
      <c r="AC126" s="159" t="s">
        <v>706</v>
      </c>
    </row>
    <row r="127" spans="1:29" ht="19.5" customHeight="1">
      <c r="A127" s="207" t="s">
        <v>707</v>
      </c>
      <c r="B127" s="350" t="s">
        <v>708</v>
      </c>
      <c r="C127" s="208" t="s">
        <v>92</v>
      </c>
      <c r="D127" s="208" t="s">
        <v>72</v>
      </c>
      <c r="E127" s="322" t="s">
        <v>219</v>
      </c>
      <c r="F127" s="322" t="s">
        <v>709</v>
      </c>
      <c r="G127" s="218">
        <f t="shared" ref="G127:G136" si="20">AVERAGE(H127,L127,P127,U127)</f>
        <v>0.9375</v>
      </c>
      <c r="H127" s="172">
        <f t="shared" ref="H127:H136" si="21">COUNTIF(I127:K127,"Y") / COUNTA(I127:K127)</f>
        <v>1</v>
      </c>
      <c r="I127" s="163" t="s">
        <v>57</v>
      </c>
      <c r="J127" s="169" t="s">
        <v>57</v>
      </c>
      <c r="K127" s="171" t="s">
        <v>57</v>
      </c>
      <c r="L127" s="175">
        <f t="shared" ref="L127:L136" si="22">COUNTIF(M127:O127,"Y") / COUNTA(M127:O127)</f>
        <v>1</v>
      </c>
      <c r="M127" s="177" t="s">
        <v>57</v>
      </c>
      <c r="N127" s="157" t="s">
        <v>57</v>
      </c>
      <c r="O127" s="188" t="s">
        <v>57</v>
      </c>
      <c r="P127" s="180">
        <f t="shared" ref="P127:P136" si="23">COUNTIF(Q127:T127,"Y") / COUNTA(Q127:T127)</f>
        <v>1</v>
      </c>
      <c r="Q127" s="181" t="s">
        <v>57</v>
      </c>
      <c r="R127" s="156" t="s">
        <v>57</v>
      </c>
      <c r="S127" s="184" t="s">
        <v>57</v>
      </c>
      <c r="T127" s="186" t="s">
        <v>57</v>
      </c>
      <c r="U127" s="190">
        <f t="shared" ref="U127:U136" si="24">COUNTIF(V127:Y127,"Y") / COUNTA(V127:Y127)</f>
        <v>0.75</v>
      </c>
      <c r="V127" s="158" t="s">
        <v>57</v>
      </c>
      <c r="W127" s="193" t="s">
        <v>57</v>
      </c>
      <c r="X127" s="195" t="s">
        <v>57</v>
      </c>
      <c r="Y127" s="197" t="s">
        <v>4</v>
      </c>
      <c r="Z127" s="198" t="s">
        <v>87</v>
      </c>
      <c r="AA127" s="200" t="s">
        <v>110</v>
      </c>
      <c r="AB127" s="161" t="s">
        <v>710</v>
      </c>
      <c r="AC127" s="159" t="s">
        <v>486</v>
      </c>
    </row>
    <row r="128" spans="1:29" ht="19.5" customHeight="1">
      <c r="A128" s="209" t="s">
        <v>711</v>
      </c>
      <c r="B128" s="350" t="s">
        <v>712</v>
      </c>
      <c r="C128" s="210" t="s">
        <v>129</v>
      </c>
      <c r="D128" s="208" t="s">
        <v>72</v>
      </c>
      <c r="E128" s="322" t="s">
        <v>219</v>
      </c>
      <c r="F128" s="322" t="s">
        <v>713</v>
      </c>
      <c r="G128" s="218">
        <f t="shared" si="20"/>
        <v>1</v>
      </c>
      <c r="H128" s="172">
        <f t="shared" si="21"/>
        <v>1</v>
      </c>
      <c r="I128" s="164" t="s">
        <v>57</v>
      </c>
      <c r="J128" s="169" t="s">
        <v>57</v>
      </c>
      <c r="K128" s="171" t="s">
        <v>57</v>
      </c>
      <c r="L128" s="175">
        <f t="shared" si="22"/>
        <v>1</v>
      </c>
      <c r="M128" s="177" t="s">
        <v>57</v>
      </c>
      <c r="N128" s="157" t="s">
        <v>57</v>
      </c>
      <c r="O128" s="188" t="s">
        <v>57</v>
      </c>
      <c r="P128" s="180">
        <f t="shared" si="23"/>
        <v>1</v>
      </c>
      <c r="Q128" s="181" t="s">
        <v>57</v>
      </c>
      <c r="R128" s="156" t="s">
        <v>57</v>
      </c>
      <c r="S128" s="184" t="s">
        <v>57</v>
      </c>
      <c r="T128" s="186" t="s">
        <v>57</v>
      </c>
      <c r="U128" s="190">
        <f t="shared" si="24"/>
        <v>1</v>
      </c>
      <c r="V128" s="158"/>
      <c r="W128" s="193" t="s">
        <v>57</v>
      </c>
      <c r="X128" s="195" t="s">
        <v>57</v>
      </c>
      <c r="Y128" s="197" t="s">
        <v>57</v>
      </c>
      <c r="Z128" s="198" t="s">
        <v>87</v>
      </c>
      <c r="AA128" s="199" t="s">
        <v>67</v>
      </c>
      <c r="AB128" s="161" t="s">
        <v>714</v>
      </c>
      <c r="AC128" s="159" t="s">
        <v>715</v>
      </c>
    </row>
    <row r="129" spans="1:41" ht="19.5" customHeight="1">
      <c r="A129" s="209" t="s">
        <v>716</v>
      </c>
      <c r="B129" s="350" t="s">
        <v>717</v>
      </c>
      <c r="C129" s="208" t="s">
        <v>64</v>
      </c>
      <c r="D129" s="208" t="s">
        <v>54</v>
      </c>
      <c r="E129" s="322" t="s">
        <v>219</v>
      </c>
      <c r="F129" s="322" t="s">
        <v>718</v>
      </c>
      <c r="G129" s="218">
        <f t="shared" si="20"/>
        <v>1</v>
      </c>
      <c r="H129" s="172">
        <f t="shared" si="21"/>
        <v>1</v>
      </c>
      <c r="I129" s="164" t="s">
        <v>57</v>
      </c>
      <c r="J129" s="169" t="s">
        <v>57</v>
      </c>
      <c r="K129" s="171" t="s">
        <v>57</v>
      </c>
      <c r="L129" s="175">
        <f t="shared" si="22"/>
        <v>1</v>
      </c>
      <c r="M129" s="177" t="s">
        <v>57</v>
      </c>
      <c r="N129" s="157" t="s">
        <v>57</v>
      </c>
      <c r="O129" s="188" t="s">
        <v>57</v>
      </c>
      <c r="P129" s="180">
        <f t="shared" si="23"/>
        <v>1</v>
      </c>
      <c r="Q129" s="181" t="s">
        <v>57</v>
      </c>
      <c r="R129" s="156" t="s">
        <v>57</v>
      </c>
      <c r="S129" s="184" t="s">
        <v>57</v>
      </c>
      <c r="T129" s="186" t="s">
        <v>500</v>
      </c>
      <c r="U129" s="190">
        <f t="shared" si="24"/>
        <v>1</v>
      </c>
      <c r="V129" s="158" t="s">
        <v>57</v>
      </c>
      <c r="W129" s="193" t="s">
        <v>57</v>
      </c>
      <c r="X129" s="195" t="s">
        <v>57</v>
      </c>
      <c r="Y129" s="197" t="s">
        <v>57</v>
      </c>
      <c r="Z129" s="198" t="s">
        <v>178</v>
      </c>
      <c r="AA129" s="199" t="s">
        <v>110</v>
      </c>
      <c r="AB129" s="161" t="s">
        <v>719</v>
      </c>
      <c r="AC129" s="159" t="s">
        <v>720</v>
      </c>
    </row>
    <row r="130" spans="1:41" ht="19.5" customHeight="1">
      <c r="A130" s="207" t="s">
        <v>721</v>
      </c>
      <c r="B130" s="350" t="s">
        <v>722</v>
      </c>
      <c r="C130" s="208" t="s">
        <v>84</v>
      </c>
      <c r="D130" s="208" t="s">
        <v>72</v>
      </c>
      <c r="E130" s="322" t="s">
        <v>219</v>
      </c>
      <c r="F130" s="322" t="s">
        <v>723</v>
      </c>
      <c r="G130" s="218">
        <f t="shared" si="20"/>
        <v>1</v>
      </c>
      <c r="H130" s="172">
        <f t="shared" si="21"/>
        <v>1</v>
      </c>
      <c r="I130" s="163" t="s">
        <v>57</v>
      </c>
      <c r="J130" s="169" t="s">
        <v>57</v>
      </c>
      <c r="K130" s="171" t="s">
        <v>57</v>
      </c>
      <c r="L130" s="175">
        <f t="shared" si="22"/>
        <v>1</v>
      </c>
      <c r="M130" s="177" t="s">
        <v>57</v>
      </c>
      <c r="N130" s="157" t="s">
        <v>57</v>
      </c>
      <c r="O130" s="188" t="s">
        <v>57</v>
      </c>
      <c r="P130" s="180">
        <f t="shared" si="23"/>
        <v>1</v>
      </c>
      <c r="Q130" s="181" t="s">
        <v>57</v>
      </c>
      <c r="R130" s="156" t="s">
        <v>57</v>
      </c>
      <c r="S130" s="184" t="s">
        <v>57</v>
      </c>
      <c r="T130" s="186" t="s">
        <v>57</v>
      </c>
      <c r="U130" s="190">
        <f t="shared" si="24"/>
        <v>1</v>
      </c>
      <c r="V130" s="158" t="s">
        <v>57</v>
      </c>
      <c r="W130" s="193" t="s">
        <v>57</v>
      </c>
      <c r="X130" s="195" t="s">
        <v>57</v>
      </c>
      <c r="Y130" s="197" t="s">
        <v>57</v>
      </c>
      <c r="Z130" s="198" t="s">
        <v>87</v>
      </c>
      <c r="AA130" s="200" t="s">
        <v>110</v>
      </c>
      <c r="AB130" s="161" t="s">
        <v>724</v>
      </c>
      <c r="AC130" s="159" t="s">
        <v>725</v>
      </c>
    </row>
    <row r="131" spans="1:41" ht="19.5" customHeight="1">
      <c r="A131" s="209" t="s">
        <v>726</v>
      </c>
      <c r="B131" s="350" t="s">
        <v>727</v>
      </c>
      <c r="C131" s="208" t="s">
        <v>64</v>
      </c>
      <c r="D131" s="208" t="s">
        <v>54</v>
      </c>
      <c r="E131" s="322" t="s">
        <v>219</v>
      </c>
      <c r="F131" s="322" t="s">
        <v>728</v>
      </c>
      <c r="G131" s="218">
        <f t="shared" si="20"/>
        <v>1</v>
      </c>
      <c r="H131" s="172">
        <f t="shared" si="21"/>
        <v>1</v>
      </c>
      <c r="I131" s="164" t="s">
        <v>57</v>
      </c>
      <c r="J131" s="169" t="s">
        <v>57</v>
      </c>
      <c r="K131" s="171" t="s">
        <v>57</v>
      </c>
      <c r="L131" s="175">
        <f t="shared" si="22"/>
        <v>1</v>
      </c>
      <c r="M131" s="177" t="s">
        <v>57</v>
      </c>
      <c r="N131" s="157" t="s">
        <v>57</v>
      </c>
      <c r="O131" s="188" t="s">
        <v>57</v>
      </c>
      <c r="P131" s="180">
        <f t="shared" si="23"/>
        <v>1</v>
      </c>
      <c r="Q131" s="181" t="s">
        <v>57</v>
      </c>
      <c r="R131" s="156" t="s">
        <v>57</v>
      </c>
      <c r="S131" s="184" t="s">
        <v>57</v>
      </c>
      <c r="T131" s="186" t="s">
        <v>57</v>
      </c>
      <c r="U131" s="190">
        <f t="shared" si="24"/>
        <v>1</v>
      </c>
      <c r="V131" s="158" t="s">
        <v>57</v>
      </c>
      <c r="W131" s="193" t="s">
        <v>57</v>
      </c>
      <c r="X131" s="195" t="s">
        <v>57</v>
      </c>
      <c r="Y131" s="197" t="s">
        <v>57</v>
      </c>
      <c r="Z131" s="198" t="s">
        <v>58</v>
      </c>
      <c r="AA131" s="199" t="s">
        <v>110</v>
      </c>
      <c r="AB131" s="161" t="s">
        <v>729</v>
      </c>
      <c r="AC131" s="159" t="s">
        <v>730</v>
      </c>
    </row>
    <row r="132" spans="1:41" ht="19.5" customHeight="1">
      <c r="A132" s="209" t="s">
        <v>731</v>
      </c>
      <c r="B132" s="350" t="s">
        <v>732</v>
      </c>
      <c r="C132" s="208" t="s">
        <v>64</v>
      </c>
      <c r="D132" s="208" t="s">
        <v>72</v>
      </c>
      <c r="E132" s="322" t="s">
        <v>219</v>
      </c>
      <c r="F132" s="322" t="s">
        <v>733</v>
      </c>
      <c r="G132" s="218">
        <f t="shared" si="20"/>
        <v>1</v>
      </c>
      <c r="H132" s="172">
        <f t="shared" si="21"/>
        <v>1</v>
      </c>
      <c r="I132" s="164"/>
      <c r="J132" s="169" t="s">
        <v>57</v>
      </c>
      <c r="K132" s="171" t="s">
        <v>57</v>
      </c>
      <c r="L132" s="175">
        <f t="shared" si="22"/>
        <v>1</v>
      </c>
      <c r="M132" s="177" t="s">
        <v>57</v>
      </c>
      <c r="N132" s="157" t="s">
        <v>57</v>
      </c>
      <c r="O132" s="188" t="s">
        <v>57</v>
      </c>
      <c r="P132" s="180">
        <f t="shared" si="23"/>
        <v>1</v>
      </c>
      <c r="Q132" s="181" t="s">
        <v>57</v>
      </c>
      <c r="R132" s="156" t="s">
        <v>57</v>
      </c>
      <c r="S132" s="184" t="s">
        <v>57</v>
      </c>
      <c r="T132" s="186" t="s">
        <v>57</v>
      </c>
      <c r="U132" s="190">
        <f t="shared" si="24"/>
        <v>1</v>
      </c>
      <c r="V132" s="158" t="s">
        <v>57</v>
      </c>
      <c r="W132" s="193" t="s">
        <v>57</v>
      </c>
      <c r="X132" s="195" t="s">
        <v>57</v>
      </c>
      <c r="Y132" s="197" t="s">
        <v>57</v>
      </c>
      <c r="Z132" s="198" t="s">
        <v>734</v>
      </c>
      <c r="AA132" s="199"/>
      <c r="AB132" s="161" t="s">
        <v>735</v>
      </c>
      <c r="AC132" s="159" t="s">
        <v>736</v>
      </c>
    </row>
    <row r="133" spans="1:41" ht="19.5" customHeight="1">
      <c r="A133" s="207" t="s">
        <v>737</v>
      </c>
      <c r="B133" s="350" t="s">
        <v>738</v>
      </c>
      <c r="C133" s="208" t="s">
        <v>64</v>
      </c>
      <c r="D133" s="208" t="s">
        <v>72</v>
      </c>
      <c r="E133" s="322" t="s">
        <v>219</v>
      </c>
      <c r="F133" s="322" t="s">
        <v>739</v>
      </c>
      <c r="G133" s="218">
        <f t="shared" si="20"/>
        <v>1</v>
      </c>
      <c r="H133" s="172">
        <f t="shared" si="21"/>
        <v>1</v>
      </c>
      <c r="I133" s="163" t="s">
        <v>57</v>
      </c>
      <c r="J133" s="169" t="s">
        <v>57</v>
      </c>
      <c r="K133" s="171" t="s">
        <v>57</v>
      </c>
      <c r="L133" s="175">
        <f t="shared" si="22"/>
        <v>1</v>
      </c>
      <c r="M133" s="177" t="s">
        <v>57</v>
      </c>
      <c r="N133" s="157" t="s">
        <v>57</v>
      </c>
      <c r="O133" s="188" t="s">
        <v>57</v>
      </c>
      <c r="P133" s="180">
        <f t="shared" si="23"/>
        <v>1</v>
      </c>
      <c r="Q133" s="181" t="s">
        <v>57</v>
      </c>
      <c r="R133" s="156" t="s">
        <v>57</v>
      </c>
      <c r="S133" s="184" t="s">
        <v>57</v>
      </c>
      <c r="T133" s="186" t="s">
        <v>57</v>
      </c>
      <c r="U133" s="190">
        <f t="shared" si="24"/>
        <v>1</v>
      </c>
      <c r="V133" s="158" t="s">
        <v>57</v>
      </c>
      <c r="W133" s="193" t="s">
        <v>57</v>
      </c>
      <c r="X133" s="195" t="s">
        <v>57</v>
      </c>
      <c r="Y133" s="197" t="s">
        <v>57</v>
      </c>
      <c r="Z133" s="198" t="s">
        <v>87</v>
      </c>
      <c r="AA133" s="200" t="s">
        <v>110</v>
      </c>
      <c r="AB133" s="161" t="s">
        <v>740</v>
      </c>
      <c r="AC133" s="159" t="s">
        <v>741</v>
      </c>
    </row>
    <row r="134" spans="1:41" ht="19.5" customHeight="1">
      <c r="A134" s="207" t="s">
        <v>742</v>
      </c>
      <c r="B134" s="350" t="s">
        <v>743</v>
      </c>
      <c r="C134" s="208" t="s">
        <v>64</v>
      </c>
      <c r="D134" s="208" t="s">
        <v>72</v>
      </c>
      <c r="E134" s="154" t="s">
        <v>567</v>
      </c>
      <c r="F134" s="322" t="s">
        <v>744</v>
      </c>
      <c r="G134" s="218">
        <f t="shared" si="20"/>
        <v>0.54166666666666663</v>
      </c>
      <c r="H134" s="172">
        <f t="shared" si="21"/>
        <v>1</v>
      </c>
      <c r="I134" s="163" t="s">
        <v>57</v>
      </c>
      <c r="J134" s="169" t="s">
        <v>57</v>
      </c>
      <c r="K134" s="171" t="s">
        <v>57</v>
      </c>
      <c r="L134" s="175">
        <f t="shared" si="22"/>
        <v>0.66666666666666663</v>
      </c>
      <c r="M134" s="177" t="s">
        <v>57</v>
      </c>
      <c r="N134" s="157" t="s">
        <v>57</v>
      </c>
      <c r="O134" s="188" t="s">
        <v>4</v>
      </c>
      <c r="P134" s="180">
        <f t="shared" si="23"/>
        <v>0.25</v>
      </c>
      <c r="Q134" s="181" t="s">
        <v>57</v>
      </c>
      <c r="R134" s="156" t="s">
        <v>4</v>
      </c>
      <c r="S134" s="184" t="s">
        <v>4</v>
      </c>
      <c r="T134" s="186" t="s">
        <v>4</v>
      </c>
      <c r="U134" s="190">
        <f t="shared" si="24"/>
        <v>0.25</v>
      </c>
      <c r="V134" s="158" t="s">
        <v>4</v>
      </c>
      <c r="W134" s="193" t="s">
        <v>4</v>
      </c>
      <c r="X134" s="195" t="s">
        <v>57</v>
      </c>
      <c r="Y134" s="197" t="s">
        <v>4</v>
      </c>
      <c r="Z134" s="198" t="s">
        <v>58</v>
      </c>
      <c r="AA134" s="200" t="s">
        <v>110</v>
      </c>
    </row>
    <row r="135" spans="1:41" ht="15">
      <c r="A135" s="207" t="s">
        <v>745</v>
      </c>
      <c r="B135" s="350" t="s">
        <v>746</v>
      </c>
      <c r="C135" s="208" t="s">
        <v>53</v>
      </c>
      <c r="D135" s="208" t="s">
        <v>54</v>
      </c>
      <c r="E135" s="322" t="s">
        <v>85</v>
      </c>
      <c r="F135" s="322" t="s">
        <v>747</v>
      </c>
      <c r="G135" s="218">
        <f t="shared" si="20"/>
        <v>0.35416666666666663</v>
      </c>
      <c r="H135" s="172">
        <f t="shared" si="21"/>
        <v>0</v>
      </c>
      <c r="I135" s="164" t="s">
        <v>4</v>
      </c>
      <c r="J135" s="169" t="s">
        <v>4</v>
      </c>
      <c r="K135" s="171" t="s">
        <v>4</v>
      </c>
      <c r="L135" s="175">
        <f t="shared" si="22"/>
        <v>0.66666666666666663</v>
      </c>
      <c r="M135" s="177" t="s">
        <v>57</v>
      </c>
      <c r="N135" s="157" t="s">
        <v>57</v>
      </c>
      <c r="O135" s="188" t="s">
        <v>4</v>
      </c>
      <c r="P135" s="180">
        <f t="shared" si="23"/>
        <v>0.75</v>
      </c>
      <c r="Q135" s="181" t="s">
        <v>57</v>
      </c>
      <c r="R135" s="156" t="s">
        <v>57</v>
      </c>
      <c r="S135" s="184" t="s">
        <v>57</v>
      </c>
      <c r="T135" s="186" t="s">
        <v>4</v>
      </c>
      <c r="U135" s="190">
        <f t="shared" si="24"/>
        <v>0</v>
      </c>
      <c r="V135" s="158" t="s">
        <v>4</v>
      </c>
      <c r="W135" s="193" t="s">
        <v>4</v>
      </c>
      <c r="X135" s="195" t="s">
        <v>4</v>
      </c>
      <c r="Y135" s="197" t="s">
        <v>4</v>
      </c>
      <c r="Z135" s="198" t="s">
        <v>58</v>
      </c>
      <c r="AA135" s="200" t="s">
        <v>110</v>
      </c>
    </row>
    <row r="136" spans="1:41" ht="19.5" customHeight="1">
      <c r="A136" s="207" t="s">
        <v>748</v>
      </c>
      <c r="B136" s="350" t="s">
        <v>749</v>
      </c>
      <c r="C136" s="213" t="s">
        <v>53</v>
      </c>
      <c r="D136" s="208" t="s">
        <v>54</v>
      </c>
      <c r="E136" s="322" t="s">
        <v>219</v>
      </c>
      <c r="F136" s="322" t="s">
        <v>750</v>
      </c>
      <c r="G136" s="218" t="e">
        <f t="shared" si="20"/>
        <v>#DIV/0!</v>
      </c>
      <c r="H136" s="172">
        <f t="shared" si="21"/>
        <v>1</v>
      </c>
      <c r="I136" s="163" t="s">
        <v>57</v>
      </c>
      <c r="J136" s="169" t="s">
        <v>57</v>
      </c>
      <c r="K136" s="171" t="s">
        <v>57</v>
      </c>
      <c r="L136" s="175" t="e">
        <f t="shared" si="22"/>
        <v>#DIV/0!</v>
      </c>
      <c r="M136" s="177"/>
      <c r="N136" s="157"/>
      <c r="O136" s="188"/>
      <c r="P136" s="180">
        <f t="shared" si="23"/>
        <v>0</v>
      </c>
      <c r="Q136" s="181" t="s">
        <v>751</v>
      </c>
      <c r="R136" s="156"/>
      <c r="S136" s="184"/>
      <c r="T136" s="186"/>
      <c r="U136" s="190" t="e">
        <f t="shared" si="24"/>
        <v>#DIV/0!</v>
      </c>
      <c r="V136" s="158"/>
      <c r="W136" s="193"/>
      <c r="X136" s="195"/>
      <c r="Y136" s="197"/>
      <c r="Z136" s="198" t="s">
        <v>58</v>
      </c>
      <c r="AA136" s="200" t="s">
        <v>59</v>
      </c>
      <c r="AB136" s="149" t="s">
        <v>752</v>
      </c>
      <c r="AC136" s="356" t="s">
        <v>753</v>
      </c>
    </row>
    <row r="137" spans="1:41" ht="19.5" customHeight="1">
      <c r="A137" s="246" t="s">
        <v>754</v>
      </c>
      <c r="B137" s="352" t="s">
        <v>755</v>
      </c>
      <c r="C137" s="208" t="s">
        <v>64</v>
      </c>
      <c r="D137" s="208" t="s">
        <v>54</v>
      </c>
      <c r="E137" s="322" t="s">
        <v>756</v>
      </c>
      <c r="F137" s="322" t="s">
        <v>757</v>
      </c>
      <c r="G137" s="218">
        <f t="shared" ref="G137:G138" si="25">AVERAGE(H137,L137,P137,U137)</f>
        <v>0.39583333333333331</v>
      </c>
      <c r="H137" s="172">
        <f t="shared" ref="H137:H138" si="26">COUNTIF(I137:K137,"Y") / COUNTA(I137:K137)</f>
        <v>1</v>
      </c>
      <c r="I137" s="164" t="s">
        <v>57</v>
      </c>
      <c r="J137" s="169" t="s">
        <v>57</v>
      </c>
      <c r="K137" s="171" t="s">
        <v>57</v>
      </c>
      <c r="L137" s="175">
        <f t="shared" ref="L137:L154" si="27">COUNTIF(M137:O137,"Y") / COUNTA(M137:O137)</f>
        <v>0.33333333333333331</v>
      </c>
      <c r="M137" s="177" t="s">
        <v>57</v>
      </c>
      <c r="N137" s="157" t="s">
        <v>4</v>
      </c>
      <c r="O137" s="188" t="s">
        <v>4</v>
      </c>
      <c r="P137" s="180">
        <f t="shared" ref="P137" si="28">COUNTIF(Q137:T137,"Y") / COUNTA(Q137:T137)</f>
        <v>0</v>
      </c>
      <c r="Q137" s="181" t="s">
        <v>4</v>
      </c>
      <c r="R137" s="156" t="s">
        <v>4</v>
      </c>
      <c r="S137" s="184" t="s">
        <v>4</v>
      </c>
      <c r="T137" s="186" t="s">
        <v>4</v>
      </c>
      <c r="U137" s="190">
        <f t="shared" ref="U137" si="29">COUNTIF(V137:Y137,"Y") / COUNTA(V137:Y137)</f>
        <v>0.25</v>
      </c>
      <c r="V137" s="158" t="s">
        <v>4</v>
      </c>
      <c r="W137" s="193" t="s">
        <v>4</v>
      </c>
      <c r="X137" s="195" t="s">
        <v>57</v>
      </c>
      <c r="Y137" s="197" t="s">
        <v>4</v>
      </c>
      <c r="Z137" s="198" t="s">
        <v>58</v>
      </c>
      <c r="AA137" s="200" t="s">
        <v>110</v>
      </c>
      <c r="AB137" s="149" t="s">
        <v>758</v>
      </c>
    </row>
    <row r="138" spans="1:41" ht="19.5" customHeight="1">
      <c r="A138" s="248" t="s">
        <v>759</v>
      </c>
      <c r="B138" s="353" t="s">
        <v>760</v>
      </c>
      <c r="C138" s="245" t="s">
        <v>566</v>
      </c>
      <c r="D138" s="208" t="s">
        <v>54</v>
      </c>
      <c r="E138" s="322" t="s">
        <v>567</v>
      </c>
      <c r="F138" s="322" t="s">
        <v>761</v>
      </c>
      <c r="G138" s="218">
        <f t="shared" si="25"/>
        <v>0.35416666666666663</v>
      </c>
      <c r="H138" s="172">
        <f t="shared" si="26"/>
        <v>0.66666666666666663</v>
      </c>
      <c r="I138" s="164" t="s">
        <v>57</v>
      </c>
      <c r="J138" s="169" t="s">
        <v>4</v>
      </c>
      <c r="K138" s="171" t="s">
        <v>57</v>
      </c>
      <c r="L138" s="175">
        <f t="shared" si="27"/>
        <v>0</v>
      </c>
      <c r="M138" s="177" t="s">
        <v>4</v>
      </c>
      <c r="N138" s="157" t="s">
        <v>4</v>
      </c>
      <c r="O138" s="188" t="s">
        <v>4</v>
      </c>
      <c r="P138" s="180">
        <f t="shared" ref="P138:P139" si="30">COUNTIF(Q138:T138,"Y") / COUNTA(Q138:T138)</f>
        <v>0.5</v>
      </c>
      <c r="Q138" s="181" t="s">
        <v>4</v>
      </c>
      <c r="R138" s="156" t="s">
        <v>4</v>
      </c>
      <c r="S138" s="184" t="s">
        <v>57</v>
      </c>
      <c r="T138" s="186" t="s">
        <v>57</v>
      </c>
      <c r="U138" s="190">
        <f t="shared" ref="U138:U139" si="31">COUNTIF(V138:Y138,"Y") / COUNTA(V138:Y138)</f>
        <v>0.25</v>
      </c>
      <c r="V138" s="158" t="s">
        <v>57</v>
      </c>
      <c r="W138" s="193" t="s">
        <v>4</v>
      </c>
      <c r="X138" s="195" t="s">
        <v>4</v>
      </c>
      <c r="Y138" s="197" t="s">
        <v>4</v>
      </c>
      <c r="Z138" s="198" t="s">
        <v>58</v>
      </c>
      <c r="AA138" s="200" t="s">
        <v>110</v>
      </c>
    </row>
    <row r="139" spans="1:41" ht="19.5" customHeight="1">
      <c r="A139" s="250" t="s">
        <v>762</v>
      </c>
      <c r="B139" s="406" t="s">
        <v>763</v>
      </c>
      <c r="C139" s="251" t="s">
        <v>566</v>
      </c>
      <c r="D139" s="252" t="s">
        <v>54</v>
      </c>
      <c r="E139" s="253" t="s">
        <v>567</v>
      </c>
      <c r="F139" s="322" t="s">
        <v>764</v>
      </c>
      <c r="G139" s="218">
        <f t="shared" ref="G139:G154" si="32">AVERAGE(H139,L139,P139,U139)</f>
        <v>0.14583333333333331</v>
      </c>
      <c r="H139" s="172">
        <f t="shared" ref="H139:H154" si="33">COUNTIF(I139:K139,"Y") / COUNTA(I139:K139)</f>
        <v>0.33333333333333331</v>
      </c>
      <c r="I139" s="164" t="s">
        <v>4</v>
      </c>
      <c r="J139" s="169" t="s">
        <v>4</v>
      </c>
      <c r="K139" s="171" t="s">
        <v>57</v>
      </c>
      <c r="L139" s="175">
        <f t="shared" si="27"/>
        <v>0</v>
      </c>
      <c r="M139" s="177" t="s">
        <v>4</v>
      </c>
      <c r="N139" s="157" t="s">
        <v>4</v>
      </c>
      <c r="O139" s="188" t="s">
        <v>4</v>
      </c>
      <c r="P139" s="180">
        <f t="shared" si="30"/>
        <v>0.25</v>
      </c>
      <c r="Q139" s="181" t="s">
        <v>4</v>
      </c>
      <c r="R139" s="156" t="s">
        <v>4</v>
      </c>
      <c r="S139" s="184" t="s">
        <v>4</v>
      </c>
      <c r="T139" s="186" t="s">
        <v>57</v>
      </c>
      <c r="U139" s="190">
        <f t="shared" si="31"/>
        <v>0</v>
      </c>
      <c r="V139" s="158" t="s">
        <v>4</v>
      </c>
      <c r="W139" s="193" t="s">
        <v>4</v>
      </c>
      <c r="X139" s="195" t="s">
        <v>4</v>
      </c>
      <c r="Y139" s="197" t="s">
        <v>4</v>
      </c>
      <c r="Z139" s="198" t="s">
        <v>87</v>
      </c>
      <c r="AA139" s="200" t="s">
        <v>110</v>
      </c>
    </row>
    <row r="140" spans="1:41" ht="19.5" customHeight="1">
      <c r="A140" s="247" t="s">
        <v>765</v>
      </c>
      <c r="B140" s="407" t="s">
        <v>766</v>
      </c>
      <c r="C140" s="249" t="s">
        <v>92</v>
      </c>
      <c r="D140" s="249" t="s">
        <v>54</v>
      </c>
      <c r="E140" s="255" t="s">
        <v>483</v>
      </c>
      <c r="F140" s="322" t="s">
        <v>767</v>
      </c>
      <c r="G140" s="218">
        <f t="shared" si="32"/>
        <v>0.14583333333333331</v>
      </c>
      <c r="H140" s="172">
        <f t="shared" si="33"/>
        <v>0</v>
      </c>
      <c r="I140" s="164" t="s">
        <v>4</v>
      </c>
      <c r="J140" s="169" t="s">
        <v>4</v>
      </c>
      <c r="K140" s="171" t="s">
        <v>4</v>
      </c>
      <c r="L140" s="175">
        <f t="shared" si="27"/>
        <v>0.33333333333333331</v>
      </c>
      <c r="M140" s="177" t="s">
        <v>4</v>
      </c>
      <c r="N140" s="157" t="s">
        <v>57</v>
      </c>
      <c r="O140" s="188" t="s">
        <v>4</v>
      </c>
      <c r="P140" s="180">
        <f t="shared" ref="P140:P154" si="34">COUNTIF(Q140:T140,"Y") / COUNTA(Q140:T140)</f>
        <v>0</v>
      </c>
      <c r="Q140" s="181" t="s">
        <v>4</v>
      </c>
      <c r="R140" s="156" t="s">
        <v>4</v>
      </c>
      <c r="S140" s="184" t="s">
        <v>4</v>
      </c>
      <c r="T140" s="186" t="s">
        <v>4</v>
      </c>
      <c r="U140" s="190">
        <f t="shared" ref="U140:U154" si="35">COUNTIF(V140:Y140,"Y") / COUNTA(V140:Y140)</f>
        <v>0.25</v>
      </c>
      <c r="V140" s="158" t="s">
        <v>4</v>
      </c>
      <c r="W140" s="193" t="s">
        <v>4</v>
      </c>
      <c r="X140" s="195" t="s">
        <v>4</v>
      </c>
      <c r="Y140" s="197" t="s">
        <v>57</v>
      </c>
      <c r="Z140" s="198" t="s">
        <v>58</v>
      </c>
      <c r="AA140" s="200" t="s">
        <v>110</v>
      </c>
    </row>
    <row r="141" spans="1:41" ht="15">
      <c r="A141" s="247" t="s">
        <v>768</v>
      </c>
      <c r="B141" s="407" t="s">
        <v>769</v>
      </c>
      <c r="C141" s="208" t="s">
        <v>64</v>
      </c>
      <c r="D141" s="249" t="s">
        <v>54</v>
      </c>
      <c r="E141" s="322" t="s">
        <v>156</v>
      </c>
      <c r="F141" s="322" t="s">
        <v>770</v>
      </c>
      <c r="G141" s="218">
        <f t="shared" si="32"/>
        <v>0</v>
      </c>
      <c r="H141" s="172">
        <f t="shared" si="33"/>
        <v>0</v>
      </c>
      <c r="I141" s="164" t="s">
        <v>4</v>
      </c>
      <c r="J141" s="169" t="s">
        <v>4</v>
      </c>
      <c r="K141" s="171" t="s">
        <v>4</v>
      </c>
      <c r="L141" s="175">
        <f t="shared" si="27"/>
        <v>0</v>
      </c>
      <c r="M141" s="177" t="s">
        <v>4</v>
      </c>
      <c r="N141" s="157" t="s">
        <v>4</v>
      </c>
      <c r="O141" s="188" t="s">
        <v>4</v>
      </c>
      <c r="P141" s="180">
        <f t="shared" si="34"/>
        <v>0</v>
      </c>
      <c r="Q141" s="181" t="s">
        <v>4</v>
      </c>
      <c r="R141" s="156" t="s">
        <v>4</v>
      </c>
      <c r="S141" s="184" t="s">
        <v>4</v>
      </c>
      <c r="T141" s="186" t="s">
        <v>4</v>
      </c>
      <c r="U141" s="190">
        <f t="shared" si="35"/>
        <v>0</v>
      </c>
      <c r="V141" s="158" t="s">
        <v>4</v>
      </c>
      <c r="W141" s="193" t="s">
        <v>4</v>
      </c>
      <c r="X141" s="195" t="s">
        <v>4</v>
      </c>
      <c r="Y141" s="197" t="s">
        <v>4</v>
      </c>
      <c r="Z141" s="198" t="s">
        <v>87</v>
      </c>
      <c r="AA141" s="200" t="s">
        <v>110</v>
      </c>
    </row>
    <row r="142" spans="1:41" ht="19.5" customHeight="1">
      <c r="A142" s="250" t="s">
        <v>771</v>
      </c>
      <c r="B142" s="354" t="s">
        <v>772</v>
      </c>
      <c r="C142" s="252" t="s">
        <v>92</v>
      </c>
      <c r="D142" s="279" t="s">
        <v>54</v>
      </c>
      <c r="E142" s="253" t="s">
        <v>103</v>
      </c>
      <c r="F142" s="253" t="s">
        <v>145</v>
      </c>
      <c r="G142" s="280">
        <f t="shared" si="32"/>
        <v>6.25E-2</v>
      </c>
      <c r="H142" s="281">
        <f t="shared" si="33"/>
        <v>0</v>
      </c>
      <c r="I142" s="282" t="s">
        <v>4</v>
      </c>
      <c r="J142" s="283" t="s">
        <v>4</v>
      </c>
      <c r="K142" s="284" t="s">
        <v>4</v>
      </c>
      <c r="L142" s="285">
        <f t="shared" si="27"/>
        <v>0</v>
      </c>
      <c r="M142" s="286" t="s">
        <v>4</v>
      </c>
      <c r="N142" s="287" t="s">
        <v>4</v>
      </c>
      <c r="O142" s="288" t="s">
        <v>4</v>
      </c>
      <c r="P142" s="289">
        <f t="shared" si="34"/>
        <v>0</v>
      </c>
      <c r="Q142" s="290" t="s">
        <v>4</v>
      </c>
      <c r="R142" s="291" t="s">
        <v>4</v>
      </c>
      <c r="S142" s="292" t="s">
        <v>4</v>
      </c>
      <c r="T142" s="293" t="s">
        <v>4</v>
      </c>
      <c r="U142" s="294">
        <f t="shared" si="35"/>
        <v>0.25</v>
      </c>
      <c r="V142" s="295" t="s">
        <v>4</v>
      </c>
      <c r="W142" s="296" t="s">
        <v>4</v>
      </c>
      <c r="X142" s="297" t="s">
        <v>4</v>
      </c>
      <c r="Y142" s="298" t="s">
        <v>57</v>
      </c>
      <c r="Z142" s="299" t="s">
        <v>87</v>
      </c>
      <c r="AA142" s="300" t="s">
        <v>110</v>
      </c>
    </row>
    <row r="143" spans="1:41" s="278" customFormat="1" ht="15">
      <c r="A143" s="247" t="s">
        <v>773</v>
      </c>
      <c r="B143" s="407" t="s">
        <v>774</v>
      </c>
      <c r="C143" s="249" t="s">
        <v>155</v>
      </c>
      <c r="D143" s="249" t="s">
        <v>54</v>
      </c>
      <c r="E143" s="255" t="s">
        <v>775</v>
      </c>
      <c r="F143" s="255" t="s">
        <v>776</v>
      </c>
      <c r="G143" s="257">
        <f t="shared" si="32"/>
        <v>0.29166666666666663</v>
      </c>
      <c r="H143" s="258">
        <f t="shared" si="33"/>
        <v>0</v>
      </c>
      <c r="I143" s="259" t="s">
        <v>4</v>
      </c>
      <c r="J143" s="260" t="s">
        <v>4</v>
      </c>
      <c r="K143" s="261" t="s">
        <v>4</v>
      </c>
      <c r="L143" s="262">
        <f t="shared" si="27"/>
        <v>0.66666666666666663</v>
      </c>
      <c r="M143" s="263" t="s">
        <v>4</v>
      </c>
      <c r="N143" s="264" t="s">
        <v>57</v>
      </c>
      <c r="O143" s="265" t="s">
        <v>57</v>
      </c>
      <c r="P143" s="266">
        <f t="shared" si="34"/>
        <v>0.25</v>
      </c>
      <c r="Q143" s="267" t="s">
        <v>4</v>
      </c>
      <c r="R143" s="268" t="s">
        <v>57</v>
      </c>
      <c r="S143" s="269" t="s">
        <v>4</v>
      </c>
      <c r="T143" s="270" t="s">
        <v>4</v>
      </c>
      <c r="U143" s="271">
        <f t="shared" si="35"/>
        <v>0.25</v>
      </c>
      <c r="V143" s="272" t="s">
        <v>4</v>
      </c>
      <c r="W143" s="273" t="s">
        <v>4</v>
      </c>
      <c r="X143" s="274" t="s">
        <v>57</v>
      </c>
      <c r="Y143" s="275" t="s">
        <v>4</v>
      </c>
      <c r="Z143" s="276"/>
      <c r="AA143" s="277" t="s">
        <v>59</v>
      </c>
      <c r="AB143" s="256"/>
      <c r="AC143" s="256"/>
      <c r="AD143" s="255"/>
      <c r="AF143" s="255"/>
      <c r="AG143" s="255"/>
      <c r="AH143" s="255"/>
      <c r="AI143" s="255"/>
      <c r="AJ143" s="255"/>
      <c r="AK143" s="255"/>
      <c r="AL143" s="255"/>
      <c r="AM143" s="255"/>
      <c r="AN143" s="255"/>
      <c r="AO143" s="255"/>
    </row>
    <row r="144" spans="1:41" s="278" customFormat="1" ht="15">
      <c r="A144" s="247" t="s">
        <v>777</v>
      </c>
      <c r="B144" s="407" t="s">
        <v>778</v>
      </c>
      <c r="C144" s="254" t="s">
        <v>566</v>
      </c>
      <c r="D144" s="249" t="s">
        <v>54</v>
      </c>
      <c r="E144" s="255" t="s">
        <v>567</v>
      </c>
      <c r="F144" s="255" t="s">
        <v>779</v>
      </c>
      <c r="G144" s="257">
        <f t="shared" si="32"/>
        <v>0.22916666666666666</v>
      </c>
      <c r="H144" s="258">
        <f t="shared" si="33"/>
        <v>0</v>
      </c>
      <c r="I144" s="259" t="s">
        <v>4</v>
      </c>
      <c r="J144" s="260" t="s">
        <v>4</v>
      </c>
      <c r="K144" s="261" t="s">
        <v>4</v>
      </c>
      <c r="L144" s="262">
        <f t="shared" si="27"/>
        <v>0.66666666666666663</v>
      </c>
      <c r="M144" s="263" t="s">
        <v>4</v>
      </c>
      <c r="N144" s="264" t="s">
        <v>57</v>
      </c>
      <c r="O144" s="265" t="s">
        <v>57</v>
      </c>
      <c r="P144" s="266">
        <f t="shared" si="34"/>
        <v>0.25</v>
      </c>
      <c r="Q144" s="267" t="s">
        <v>4</v>
      </c>
      <c r="R144" s="268" t="s">
        <v>4</v>
      </c>
      <c r="S144" s="269" t="s">
        <v>4</v>
      </c>
      <c r="T144" s="270" t="s">
        <v>57</v>
      </c>
      <c r="U144" s="271">
        <f t="shared" si="35"/>
        <v>0</v>
      </c>
      <c r="V144" s="272" t="s">
        <v>4</v>
      </c>
      <c r="W144" s="273" t="s">
        <v>4</v>
      </c>
      <c r="X144" s="274" t="s">
        <v>4</v>
      </c>
      <c r="Y144" s="275" t="s">
        <v>4</v>
      </c>
      <c r="Z144" s="276" t="s">
        <v>87</v>
      </c>
      <c r="AA144" s="277" t="s">
        <v>780</v>
      </c>
      <c r="AB144" s="256"/>
      <c r="AC144" s="256"/>
      <c r="AD144" s="255"/>
      <c r="AF144" s="255"/>
      <c r="AG144" s="255"/>
      <c r="AH144" s="255"/>
      <c r="AI144" s="255"/>
      <c r="AJ144" s="255"/>
      <c r="AK144" s="255"/>
      <c r="AL144" s="255"/>
      <c r="AM144" s="255"/>
      <c r="AN144" s="255"/>
      <c r="AO144" s="255"/>
    </row>
    <row r="145" spans="1:30" s="347" customFormat="1" ht="15">
      <c r="A145" s="323" t="s">
        <v>781</v>
      </c>
      <c r="B145" s="408" t="s">
        <v>782</v>
      </c>
      <c r="C145" s="279" t="s">
        <v>92</v>
      </c>
      <c r="D145" s="279" t="s">
        <v>54</v>
      </c>
      <c r="E145" s="324" t="s">
        <v>483</v>
      </c>
      <c r="F145" s="324" t="s">
        <v>783</v>
      </c>
      <c r="G145" s="325">
        <f t="shared" si="32"/>
        <v>0.125</v>
      </c>
      <c r="H145" s="326">
        <f t="shared" si="33"/>
        <v>0</v>
      </c>
      <c r="I145" s="327" t="s">
        <v>4</v>
      </c>
      <c r="J145" s="328" t="s">
        <v>4</v>
      </c>
      <c r="K145" s="329" t="s">
        <v>4</v>
      </c>
      <c r="L145" s="330">
        <f t="shared" si="27"/>
        <v>0</v>
      </c>
      <c r="M145" s="331" t="s">
        <v>4</v>
      </c>
      <c r="N145" s="332" t="s">
        <v>4</v>
      </c>
      <c r="O145" s="333" t="s">
        <v>4</v>
      </c>
      <c r="P145" s="334">
        <f t="shared" si="34"/>
        <v>0</v>
      </c>
      <c r="Q145" s="335" t="s">
        <v>4</v>
      </c>
      <c r="R145" s="336" t="s">
        <v>4</v>
      </c>
      <c r="S145" s="337" t="s">
        <v>4</v>
      </c>
      <c r="T145" s="338" t="s">
        <v>4</v>
      </c>
      <c r="U145" s="339">
        <f t="shared" si="35"/>
        <v>0.5</v>
      </c>
      <c r="V145" s="340" t="s">
        <v>57</v>
      </c>
      <c r="W145" s="341" t="s">
        <v>4</v>
      </c>
      <c r="X145" s="342" t="s">
        <v>57</v>
      </c>
      <c r="Y145" s="343" t="s">
        <v>4</v>
      </c>
      <c r="Z145" s="344" t="s">
        <v>87</v>
      </c>
      <c r="AA145" s="345" t="s">
        <v>59</v>
      </c>
      <c r="AB145" s="346"/>
      <c r="AC145" s="346"/>
      <c r="AD145" s="324"/>
    </row>
    <row r="146" spans="1:30" s="347" customFormat="1" ht="19.5" customHeight="1">
      <c r="A146" s="247" t="s">
        <v>784</v>
      </c>
      <c r="B146" s="407" t="s">
        <v>785</v>
      </c>
      <c r="C146" s="249" t="s">
        <v>2</v>
      </c>
      <c r="D146" s="249" t="s">
        <v>54</v>
      </c>
      <c r="E146" s="255" t="s">
        <v>445</v>
      </c>
      <c r="F146" s="255" t="s">
        <v>786</v>
      </c>
      <c r="G146" s="257">
        <f t="shared" si="32"/>
        <v>0.33333333333333331</v>
      </c>
      <c r="H146" s="258">
        <f t="shared" si="33"/>
        <v>1</v>
      </c>
      <c r="I146" s="259" t="s">
        <v>57</v>
      </c>
      <c r="J146" s="260" t="s">
        <v>57</v>
      </c>
      <c r="K146" s="261" t="s">
        <v>500</v>
      </c>
      <c r="L146" s="262">
        <f t="shared" si="27"/>
        <v>0.33333333333333331</v>
      </c>
      <c r="M146" s="263" t="s">
        <v>57</v>
      </c>
      <c r="N146" s="264" t="s">
        <v>4</v>
      </c>
      <c r="O146" s="265" t="s">
        <v>4</v>
      </c>
      <c r="P146" s="266">
        <f t="shared" si="34"/>
        <v>0</v>
      </c>
      <c r="Q146" s="267" t="s">
        <v>4</v>
      </c>
      <c r="R146" s="268" t="s">
        <v>4</v>
      </c>
      <c r="S146" s="269" t="s">
        <v>4</v>
      </c>
      <c r="T146" s="270" t="s">
        <v>4</v>
      </c>
      <c r="U146" s="271">
        <f t="shared" si="35"/>
        <v>0</v>
      </c>
      <c r="V146" s="272" t="s">
        <v>4</v>
      </c>
      <c r="W146" s="273" t="s">
        <v>4</v>
      </c>
      <c r="X146" s="274" t="s">
        <v>4</v>
      </c>
      <c r="Y146" s="275" t="s">
        <v>4</v>
      </c>
      <c r="Z146" s="276" t="s">
        <v>787</v>
      </c>
      <c r="AA146" s="277" t="s">
        <v>59</v>
      </c>
      <c r="AB146" s="256"/>
      <c r="AC146" s="348"/>
      <c r="AD146" s="324"/>
    </row>
    <row r="147" spans="1:30" s="278" customFormat="1" ht="19.5" customHeight="1">
      <c r="A147" s="247" t="s">
        <v>788</v>
      </c>
      <c r="B147" s="407" t="s">
        <v>789</v>
      </c>
      <c r="C147" s="249" t="s">
        <v>64</v>
      </c>
      <c r="D147" s="249" t="s">
        <v>54</v>
      </c>
      <c r="E147" s="255" t="s">
        <v>156</v>
      </c>
      <c r="F147" s="409" t="s">
        <v>790</v>
      </c>
      <c r="G147" s="257">
        <f t="shared" si="32"/>
        <v>0.27083333333333331</v>
      </c>
      <c r="H147" s="258">
        <f t="shared" si="33"/>
        <v>0</v>
      </c>
      <c r="I147" s="259" t="s">
        <v>4</v>
      </c>
      <c r="J147" s="260" t="s">
        <v>4</v>
      </c>
      <c r="K147" s="261" t="s">
        <v>4</v>
      </c>
      <c r="L147" s="262">
        <f t="shared" si="27"/>
        <v>0.33333333333333331</v>
      </c>
      <c r="M147" s="263" t="s">
        <v>4</v>
      </c>
      <c r="N147" s="264" t="s">
        <v>57</v>
      </c>
      <c r="O147" s="265" t="s">
        <v>4</v>
      </c>
      <c r="P147" s="266">
        <f t="shared" si="34"/>
        <v>0.25</v>
      </c>
      <c r="Q147" s="267" t="s">
        <v>57</v>
      </c>
      <c r="R147" s="268" t="s">
        <v>4</v>
      </c>
      <c r="S147" s="269" t="s">
        <v>4</v>
      </c>
      <c r="T147" s="270" t="s">
        <v>4</v>
      </c>
      <c r="U147" s="271">
        <f t="shared" si="35"/>
        <v>0.5</v>
      </c>
      <c r="V147" s="272" t="s">
        <v>4</v>
      </c>
      <c r="W147" s="273" t="s">
        <v>4</v>
      </c>
      <c r="X147" s="274" t="s">
        <v>57</v>
      </c>
      <c r="Y147" s="275" t="s">
        <v>57</v>
      </c>
      <c r="Z147" s="276" t="s">
        <v>87</v>
      </c>
      <c r="AA147" s="277" t="s">
        <v>791</v>
      </c>
      <c r="AB147" s="256"/>
      <c r="AC147" s="349"/>
      <c r="AD147" s="255"/>
    </row>
    <row r="148" spans="1:30" ht="28.5" customHeight="1">
      <c r="A148" s="207" t="s">
        <v>792</v>
      </c>
      <c r="B148" s="350" t="s">
        <v>793</v>
      </c>
      <c r="C148" s="149" t="s">
        <v>64</v>
      </c>
      <c r="D148" s="208" t="s">
        <v>54</v>
      </c>
      <c r="E148" s="322" t="s">
        <v>235</v>
      </c>
      <c r="F148" s="322" t="s">
        <v>794</v>
      </c>
      <c r="G148" s="301">
        <f t="shared" si="32"/>
        <v>0.60416666666666663</v>
      </c>
      <c r="H148" s="302">
        <f t="shared" si="33"/>
        <v>1</v>
      </c>
      <c r="I148" s="303" t="s">
        <v>57</v>
      </c>
      <c r="J148" s="304" t="s">
        <v>57</v>
      </c>
      <c r="K148" s="305" t="s">
        <v>57</v>
      </c>
      <c r="L148" s="306">
        <f t="shared" si="27"/>
        <v>0.66666666666666663</v>
      </c>
      <c r="M148" s="307" t="s">
        <v>57</v>
      </c>
      <c r="N148" s="308" t="s">
        <v>57</v>
      </c>
      <c r="O148" s="309" t="s">
        <v>4</v>
      </c>
      <c r="P148" s="310">
        <f t="shared" si="34"/>
        <v>0.75</v>
      </c>
      <c r="Q148" s="311" t="s">
        <v>57</v>
      </c>
      <c r="R148" s="312" t="s">
        <v>4</v>
      </c>
      <c r="S148" s="313" t="s">
        <v>57</v>
      </c>
      <c r="T148" s="314" t="s">
        <v>57</v>
      </c>
      <c r="U148" s="315">
        <f t="shared" si="35"/>
        <v>0</v>
      </c>
      <c r="V148" s="316" t="s">
        <v>4</v>
      </c>
      <c r="W148" s="317" t="s">
        <v>4</v>
      </c>
      <c r="X148" s="318" t="s">
        <v>4</v>
      </c>
      <c r="Y148" s="319" t="s">
        <v>4</v>
      </c>
      <c r="Z148" s="320" t="s">
        <v>795</v>
      </c>
      <c r="AA148" s="321" t="s">
        <v>59</v>
      </c>
    </row>
    <row r="149" spans="1:30" ht="15">
      <c r="A149" s="207" t="s">
        <v>796</v>
      </c>
      <c r="B149" s="350" t="s">
        <v>797</v>
      </c>
      <c r="C149" s="149" t="s">
        <v>64</v>
      </c>
      <c r="D149" s="208" t="s">
        <v>54</v>
      </c>
      <c r="E149" s="322" t="s">
        <v>798</v>
      </c>
      <c r="F149" s="322" t="s">
        <v>799</v>
      </c>
      <c r="G149" s="218">
        <f t="shared" si="32"/>
        <v>0.16666666666666666</v>
      </c>
      <c r="H149" s="172">
        <f t="shared" si="33"/>
        <v>0.66666666666666663</v>
      </c>
      <c r="I149" s="164" t="s">
        <v>57</v>
      </c>
      <c r="J149" s="169" t="s">
        <v>57</v>
      </c>
      <c r="K149" s="171" t="s">
        <v>4</v>
      </c>
      <c r="L149" s="175">
        <f t="shared" si="27"/>
        <v>0</v>
      </c>
      <c r="M149" s="177" t="s">
        <v>4</v>
      </c>
      <c r="N149" s="157" t="s">
        <v>4</v>
      </c>
      <c r="O149" s="188" t="s">
        <v>4</v>
      </c>
      <c r="P149" s="180">
        <f t="shared" si="34"/>
        <v>0</v>
      </c>
      <c r="Q149" s="181" t="s">
        <v>4</v>
      </c>
      <c r="R149" s="156" t="s">
        <v>4</v>
      </c>
      <c r="S149" s="184" t="s">
        <v>4</v>
      </c>
      <c r="T149" s="186" t="s">
        <v>4</v>
      </c>
      <c r="U149" s="190">
        <f t="shared" si="35"/>
        <v>0</v>
      </c>
      <c r="V149" s="158" t="s">
        <v>4</v>
      </c>
      <c r="W149" s="193" t="s">
        <v>4</v>
      </c>
      <c r="X149" s="195" t="s">
        <v>4</v>
      </c>
      <c r="Y149" s="197" t="s">
        <v>4</v>
      </c>
      <c r="Z149" s="198" t="s">
        <v>787</v>
      </c>
      <c r="AA149" s="321" t="s">
        <v>59</v>
      </c>
    </row>
    <row r="150" spans="1:30" ht="15">
      <c r="A150" s="207" t="s">
        <v>800</v>
      </c>
      <c r="B150" s="350" t="s">
        <v>801</v>
      </c>
      <c r="C150" s="149" t="s">
        <v>64</v>
      </c>
      <c r="D150" s="208" t="s">
        <v>54</v>
      </c>
      <c r="E150" s="322" t="s">
        <v>802</v>
      </c>
      <c r="F150" s="322" t="s">
        <v>803</v>
      </c>
      <c r="G150" s="218">
        <f t="shared" si="32"/>
        <v>0.33333333333333331</v>
      </c>
      <c r="H150" s="172">
        <f t="shared" si="33"/>
        <v>1</v>
      </c>
      <c r="I150" s="164" t="s">
        <v>57</v>
      </c>
      <c r="J150" s="169" t="s">
        <v>57</v>
      </c>
      <c r="K150" s="171" t="s">
        <v>57</v>
      </c>
      <c r="L150" s="175">
        <f t="shared" si="27"/>
        <v>0.33333333333333331</v>
      </c>
      <c r="M150" s="177" t="s">
        <v>57</v>
      </c>
      <c r="N150" s="157" t="s">
        <v>4</v>
      </c>
      <c r="O150" s="188" t="s">
        <v>4</v>
      </c>
      <c r="P150" s="180">
        <f t="shared" si="34"/>
        <v>0</v>
      </c>
      <c r="Q150" s="181" t="s">
        <v>4</v>
      </c>
      <c r="R150" s="156" t="s">
        <v>4</v>
      </c>
      <c r="S150" s="184" t="s">
        <v>4</v>
      </c>
      <c r="T150" s="186" t="s">
        <v>4</v>
      </c>
      <c r="U150" s="190">
        <f t="shared" si="35"/>
        <v>0</v>
      </c>
      <c r="V150" s="158" t="s">
        <v>4</v>
      </c>
      <c r="W150" s="193" t="s">
        <v>4</v>
      </c>
      <c r="X150" s="195" t="s">
        <v>4</v>
      </c>
      <c r="Y150" s="197" t="s">
        <v>4</v>
      </c>
      <c r="Z150" s="198" t="s">
        <v>787</v>
      </c>
      <c r="AA150" s="321" t="s">
        <v>59</v>
      </c>
    </row>
    <row r="151" spans="1:30" ht="19.5" customHeight="1">
      <c r="A151" s="207" t="s">
        <v>804</v>
      </c>
      <c r="B151" s="350" t="s">
        <v>805</v>
      </c>
      <c r="C151" s="149" t="s">
        <v>64</v>
      </c>
      <c r="D151" s="208" t="s">
        <v>54</v>
      </c>
      <c r="E151" s="322" t="s">
        <v>806</v>
      </c>
      <c r="F151" s="322" t="s">
        <v>807</v>
      </c>
      <c r="G151" s="218">
        <f t="shared" si="32"/>
        <v>0.25</v>
      </c>
      <c r="H151" s="172">
        <f t="shared" si="33"/>
        <v>1</v>
      </c>
      <c r="I151" s="164" t="s">
        <v>57</v>
      </c>
      <c r="J151" s="169" t="s">
        <v>57</v>
      </c>
      <c r="K151" s="171" t="s">
        <v>57</v>
      </c>
      <c r="L151" s="175">
        <f t="shared" si="27"/>
        <v>0</v>
      </c>
      <c r="M151" s="177" t="s">
        <v>4</v>
      </c>
      <c r="N151" s="157" t="s">
        <v>4</v>
      </c>
      <c r="O151" s="188" t="s">
        <v>4</v>
      </c>
      <c r="P151" s="180">
        <f t="shared" si="34"/>
        <v>0</v>
      </c>
      <c r="Q151" s="181" t="s">
        <v>4</v>
      </c>
      <c r="R151" s="156" t="s">
        <v>4</v>
      </c>
      <c r="S151" s="184" t="s">
        <v>4</v>
      </c>
      <c r="T151" s="186" t="s">
        <v>4</v>
      </c>
      <c r="U151" s="190">
        <f t="shared" si="35"/>
        <v>0</v>
      </c>
      <c r="V151" s="158" t="s">
        <v>4</v>
      </c>
      <c r="W151" s="193" t="s">
        <v>4</v>
      </c>
      <c r="X151" s="195" t="s">
        <v>4</v>
      </c>
      <c r="Y151" s="197" t="s">
        <v>4</v>
      </c>
      <c r="Z151" s="198" t="s">
        <v>787</v>
      </c>
      <c r="AA151" s="321" t="s">
        <v>59</v>
      </c>
    </row>
    <row r="152" spans="1:30" ht="19.5" customHeight="1">
      <c r="A152" s="247"/>
      <c r="B152" s="407"/>
      <c r="C152" s="249"/>
      <c r="G152" s="218" t="e">
        <f t="shared" si="32"/>
        <v>#DIV/0!</v>
      </c>
      <c r="H152" s="172" t="e">
        <f t="shared" si="33"/>
        <v>#DIV/0!</v>
      </c>
      <c r="I152" s="164"/>
      <c r="J152" s="169"/>
      <c r="K152" s="171"/>
      <c r="L152" s="175" t="e">
        <f t="shared" si="27"/>
        <v>#DIV/0!</v>
      </c>
      <c r="M152" s="177"/>
      <c r="N152" s="157"/>
      <c r="O152" s="188"/>
      <c r="P152" s="180" t="e">
        <f t="shared" si="34"/>
        <v>#DIV/0!</v>
      </c>
      <c r="Q152" s="181"/>
      <c r="R152" s="156"/>
      <c r="S152" s="184"/>
      <c r="T152" s="186"/>
      <c r="U152" s="190" t="e">
        <f t="shared" si="35"/>
        <v>#DIV/0!</v>
      </c>
      <c r="V152" s="158"/>
      <c r="W152" s="193"/>
      <c r="X152" s="195"/>
      <c r="Y152" s="197"/>
      <c r="Z152" s="198"/>
      <c r="AA152" s="200"/>
    </row>
    <row r="153" spans="1:30" ht="19.5" customHeight="1">
      <c r="A153" s="247"/>
      <c r="B153" s="407"/>
      <c r="C153" s="249"/>
      <c r="G153" s="218" t="e">
        <f t="shared" si="32"/>
        <v>#DIV/0!</v>
      </c>
      <c r="H153" s="172" t="e">
        <f t="shared" si="33"/>
        <v>#DIV/0!</v>
      </c>
      <c r="I153" s="164"/>
      <c r="J153" s="169"/>
      <c r="K153" s="171"/>
      <c r="L153" s="175" t="e">
        <f t="shared" si="27"/>
        <v>#DIV/0!</v>
      </c>
      <c r="M153" s="177"/>
      <c r="N153" s="157"/>
      <c r="O153" s="188"/>
      <c r="P153" s="180" t="e">
        <f t="shared" si="34"/>
        <v>#DIV/0!</v>
      </c>
      <c r="Q153" s="181"/>
      <c r="R153" s="156"/>
      <c r="S153" s="184"/>
      <c r="T153" s="186"/>
      <c r="U153" s="190" t="e">
        <f t="shared" si="35"/>
        <v>#DIV/0!</v>
      </c>
      <c r="V153" s="158"/>
      <c r="W153" s="193"/>
      <c r="X153" s="195"/>
      <c r="Y153" s="197"/>
      <c r="Z153" s="198"/>
      <c r="AA153" s="200"/>
    </row>
    <row r="154" spans="1:30" ht="19.5" customHeight="1">
      <c r="A154" s="247"/>
      <c r="B154" s="407"/>
      <c r="C154" s="249"/>
      <c r="G154" s="218" t="e">
        <f t="shared" si="32"/>
        <v>#DIV/0!</v>
      </c>
      <c r="H154" s="172" t="e">
        <f t="shared" si="33"/>
        <v>#DIV/0!</v>
      </c>
      <c r="I154" s="164"/>
      <c r="J154" s="169"/>
      <c r="K154" s="171"/>
      <c r="L154" s="175" t="e">
        <f t="shared" si="27"/>
        <v>#DIV/0!</v>
      </c>
      <c r="M154" s="177"/>
      <c r="N154" s="157"/>
      <c r="O154" s="188"/>
      <c r="P154" s="180" t="e">
        <f t="shared" si="34"/>
        <v>#DIV/0!</v>
      </c>
      <c r="Q154" s="181"/>
      <c r="R154" s="156"/>
      <c r="S154" s="184"/>
      <c r="T154" s="186"/>
      <c r="U154" s="190" t="e">
        <f t="shared" si="35"/>
        <v>#DIV/0!</v>
      </c>
      <c r="V154" s="158"/>
      <c r="W154" s="193"/>
      <c r="X154" s="195"/>
      <c r="Y154" s="197"/>
      <c r="Z154" s="198"/>
      <c r="AA154" s="200"/>
    </row>
    <row r="1048576" spans="4:4" ht="19.5" customHeight="1">
      <c r="D1048576" s="249"/>
    </row>
  </sheetData>
  <autoFilter ref="A1:AC157" xr:uid="{00000000-0009-0000-0000-000001000000}">
    <sortState xmlns:xlrd2="http://schemas.microsoft.com/office/spreadsheetml/2017/richdata2" ref="A31:AC136">
      <sortCondition ref="G1:G154"/>
    </sortState>
  </autoFilter>
  <conditionalFormatting sqref="A1:A138 A158:A1048576 A148:A151">
    <cfRule type="duplicateValues" dxfId="121" priority="222"/>
  </conditionalFormatting>
  <conditionalFormatting sqref="A139">
    <cfRule type="duplicateValues" dxfId="120" priority="22"/>
  </conditionalFormatting>
  <conditionalFormatting sqref="A140:A142 A152:A154">
    <cfRule type="duplicateValues" dxfId="119" priority="19"/>
  </conditionalFormatting>
  <conditionalFormatting sqref="A143">
    <cfRule type="duplicateValues" dxfId="118" priority="13"/>
  </conditionalFormatting>
  <conditionalFormatting sqref="A144">
    <cfRule type="duplicateValues" dxfId="117" priority="10"/>
  </conditionalFormatting>
  <conditionalFormatting sqref="A145">
    <cfRule type="duplicateValues" dxfId="116" priority="7"/>
  </conditionalFormatting>
  <conditionalFormatting sqref="A146">
    <cfRule type="duplicateValues" dxfId="115" priority="5"/>
  </conditionalFormatting>
  <conditionalFormatting sqref="A147">
    <cfRule type="duplicateValues" dxfId="114" priority="1"/>
  </conditionalFormatting>
  <conditionalFormatting sqref="B1:B138 B158:B1048576 B148:B151">
    <cfRule type="duplicateValues" dxfId="113" priority="226"/>
  </conditionalFormatting>
  <conditionalFormatting sqref="B139">
    <cfRule type="duplicateValues" dxfId="112" priority="23"/>
    <cfRule type="duplicateValues" dxfId="111" priority="24"/>
  </conditionalFormatting>
  <conditionalFormatting sqref="B140:B142 B152:B154">
    <cfRule type="duplicateValues" dxfId="110" priority="20"/>
    <cfRule type="duplicateValues" dxfId="109" priority="21"/>
  </conditionalFormatting>
  <conditionalFormatting sqref="B143">
    <cfRule type="duplicateValues" dxfId="108" priority="14"/>
    <cfRule type="duplicateValues" dxfId="107" priority="15"/>
  </conditionalFormatting>
  <conditionalFormatting sqref="B144">
    <cfRule type="duplicateValues" dxfId="106" priority="11"/>
    <cfRule type="duplicateValues" dxfId="105" priority="12"/>
  </conditionalFormatting>
  <conditionalFormatting sqref="B145">
    <cfRule type="duplicateValues" dxfId="104" priority="8"/>
    <cfRule type="duplicateValues" dxfId="103" priority="9"/>
  </conditionalFormatting>
  <conditionalFormatting sqref="B146">
    <cfRule type="duplicateValues" dxfId="102" priority="4"/>
    <cfRule type="duplicateValues" dxfId="101" priority="6"/>
  </conditionalFormatting>
  <conditionalFormatting sqref="B147">
    <cfRule type="duplicateValues" dxfId="100" priority="2"/>
    <cfRule type="duplicateValues" dxfId="99" priority="3"/>
  </conditionalFormatting>
  <hyperlinks>
    <hyperlink ref="B19" r:id="rId1" xr:uid="{00000000-0004-0000-0100-000000000000}"/>
    <hyperlink ref="B75" r:id="rId2" xr:uid="{00000000-0004-0000-0100-000001000000}"/>
    <hyperlink ref="B40" r:id="rId3" xr:uid="{00000000-0004-0000-0100-000002000000}"/>
    <hyperlink ref="B24" r:id="rId4" xr:uid="{00000000-0004-0000-0100-000003000000}"/>
    <hyperlink ref="B60" r:id="rId5" xr:uid="{00000000-0004-0000-0100-000004000000}"/>
    <hyperlink ref="B82" r:id="rId6" xr:uid="{00000000-0004-0000-0100-000005000000}"/>
    <hyperlink ref="B99" r:id="rId7" location="acmssection" xr:uid="{00000000-0004-0000-0100-000006000000}"/>
    <hyperlink ref="B100" r:id="rId8" xr:uid="{00000000-0004-0000-0100-000007000000}"/>
    <hyperlink ref="B101" r:id="rId9" xr:uid="{00000000-0004-0000-0100-000008000000}"/>
    <hyperlink ref="B9" r:id="rId10" xr:uid="{00000000-0004-0000-0100-000009000000}"/>
    <hyperlink ref="B128" r:id="rId11" xr:uid="{00000000-0004-0000-0100-00000A000000}"/>
    <hyperlink ref="B6" r:id="rId12" xr:uid="{00000000-0004-0000-0100-00000B000000}"/>
    <hyperlink ref="A20" r:id="rId13" xr:uid="{00000000-0004-0000-0100-00000C000000}"/>
    <hyperlink ref="B20" r:id="rId14" xr:uid="{00000000-0004-0000-0100-00000D000000}"/>
    <hyperlink ref="B52" r:id="rId15" xr:uid="{00000000-0004-0000-0100-00000E000000}"/>
    <hyperlink ref="B25" r:id="rId16" xr:uid="{00000000-0004-0000-0100-00000F000000}"/>
    <hyperlink ref="B129" r:id="rId17" xr:uid="{00000000-0004-0000-0100-000010000000}"/>
    <hyperlink ref="B50" r:id="rId18" xr:uid="{00000000-0004-0000-0100-000011000000}"/>
    <hyperlink ref="B122" r:id="rId19" xr:uid="{00000000-0004-0000-0100-000012000000}"/>
    <hyperlink ref="B76" r:id="rId20" xr:uid="{00000000-0004-0000-0100-000013000000}"/>
    <hyperlink ref="B21" r:id="rId21" xr:uid="{00000000-0004-0000-0100-000014000000}"/>
    <hyperlink ref="B61" r:id="rId22" xr:uid="{00000000-0004-0000-0100-000015000000}"/>
    <hyperlink ref="B62" r:id="rId23" xr:uid="{00000000-0004-0000-0100-000016000000}"/>
    <hyperlink ref="B102" r:id="rId24" xr:uid="{00000000-0004-0000-0100-000017000000}"/>
    <hyperlink ref="B77" r:id="rId25" xr:uid="{00000000-0004-0000-0100-000018000000}"/>
    <hyperlink ref="B53" r:id="rId26" xr:uid="{00000000-0004-0000-0100-000019000000}"/>
    <hyperlink ref="B63" r:id="rId27" xr:uid="{00000000-0004-0000-0100-00001A000000}"/>
    <hyperlink ref="B26" r:id="rId28" xr:uid="{00000000-0004-0000-0100-00001B000000}"/>
    <hyperlink ref="B123" r:id="rId29" xr:uid="{00000000-0004-0000-0100-00001C000000}"/>
    <hyperlink ref="B130" r:id="rId30" xr:uid="{00000000-0004-0000-0100-00001D000000}"/>
    <hyperlink ref="B83" r:id="rId31" xr:uid="{00000000-0004-0000-0100-00001E000000}"/>
    <hyperlink ref="B10" r:id="rId32" xr:uid="{00000000-0004-0000-0100-00001F000000}"/>
    <hyperlink ref="B124" r:id="rId33" display="www.moverssuite.com / www.ewsgroup.com" xr:uid="{00000000-0004-0000-0100-000020000000}"/>
    <hyperlink ref="B32" r:id="rId34" xr:uid="{00000000-0004-0000-0100-000021000000}"/>
    <hyperlink ref="B11" r:id="rId35" xr:uid="{00000000-0004-0000-0100-000022000000}"/>
    <hyperlink ref="A27" r:id="rId36" xr:uid="{00000000-0004-0000-0100-000023000000}"/>
    <hyperlink ref="B27" r:id="rId37" xr:uid="{00000000-0004-0000-0100-000024000000}"/>
    <hyperlink ref="B116" r:id="rId38" xr:uid="{00000000-0004-0000-0100-000025000000}"/>
    <hyperlink ref="B131" r:id="rId39" xr:uid="{00000000-0004-0000-0100-000026000000}"/>
    <hyperlink ref="B12" r:id="rId40" xr:uid="{00000000-0004-0000-0100-000027000000}"/>
    <hyperlink ref="B84" r:id="rId41" xr:uid="{00000000-0004-0000-0100-000028000000}"/>
    <hyperlink ref="B85" r:id="rId42" xr:uid="{00000000-0004-0000-0100-000029000000}"/>
    <hyperlink ref="B86" r:id="rId43" xr:uid="{00000000-0004-0000-0100-00002A000000}"/>
    <hyperlink ref="B117" r:id="rId44" xr:uid="{00000000-0004-0000-0100-00002B000000}"/>
    <hyperlink ref="B38" r:id="rId45" xr:uid="{00000000-0004-0000-0100-00002C000000}"/>
    <hyperlink ref="B13" r:id="rId46" xr:uid="{00000000-0004-0000-0100-00002D000000}"/>
    <hyperlink ref="B103" r:id="rId47" xr:uid="{00000000-0004-0000-0100-00002E000000}"/>
    <hyperlink ref="B65" r:id="rId48" xr:uid="{00000000-0004-0000-0100-00002F000000}"/>
    <hyperlink ref="B36" r:id="rId49" xr:uid="{00000000-0004-0000-0100-000030000000}"/>
    <hyperlink ref="B125" r:id="rId50" xr:uid="{00000000-0004-0000-0100-000031000000}"/>
    <hyperlink ref="B136" r:id="rId51" xr:uid="{00000000-0004-0000-0100-000032000000}"/>
    <hyperlink ref="B56" r:id="rId52" xr:uid="{00000000-0004-0000-0100-000033000000}"/>
    <hyperlink ref="B78" r:id="rId53" xr:uid="{00000000-0004-0000-0100-000034000000}"/>
    <hyperlink ref="B87" r:id="rId54" xr:uid="{00000000-0004-0000-0100-000035000000}"/>
    <hyperlink ref="B88" r:id="rId55" xr:uid="{00000000-0004-0000-0100-000036000000}"/>
    <hyperlink ref="B67" r:id="rId56" xr:uid="{00000000-0004-0000-0100-000037000000}"/>
    <hyperlink ref="B39" r:id="rId57" xr:uid="{00000000-0004-0000-0100-000038000000}"/>
    <hyperlink ref="B2" r:id="rId58" xr:uid="{00000000-0004-0000-0100-000039000000}"/>
    <hyperlink ref="B43" r:id="rId59" xr:uid="{00000000-0004-0000-0100-00003A000000}"/>
    <hyperlink ref="B68" r:id="rId60" xr:uid="{00000000-0004-0000-0100-00003B000000}"/>
    <hyperlink ref="B3" r:id="rId61" xr:uid="{00000000-0004-0000-0100-00003C000000}"/>
    <hyperlink ref="B126" r:id="rId62" xr:uid="{00000000-0004-0000-0100-00003D000000}"/>
    <hyperlink ref="A104" r:id="rId63" xr:uid="{00000000-0004-0000-0100-00003E000000}"/>
    <hyperlink ref="B104" r:id="rId64" xr:uid="{00000000-0004-0000-0100-00003F000000}"/>
    <hyperlink ref="B4" r:id="rId65" xr:uid="{00000000-0004-0000-0100-000040000000}"/>
    <hyperlink ref="B105" r:id="rId66" xr:uid="{00000000-0004-0000-0100-000041000000}"/>
    <hyperlink ref="B106" r:id="rId67" xr:uid="{00000000-0004-0000-0100-000042000000}"/>
    <hyperlink ref="B107" r:id="rId68" xr:uid="{00000000-0004-0000-0100-000043000000}"/>
    <hyperlink ref="B37" r:id="rId69" xr:uid="{00000000-0004-0000-0100-000044000000}"/>
    <hyperlink ref="B57" r:id="rId70" xr:uid="{00000000-0004-0000-0100-000045000000}"/>
    <hyperlink ref="B108" r:id="rId71" xr:uid="{00000000-0004-0000-0100-000046000000}"/>
    <hyperlink ref="B64" r:id="rId72" xr:uid="{00000000-0004-0000-0100-000047000000}"/>
    <hyperlink ref="B44" r:id="rId73" xr:uid="{00000000-0004-0000-0100-000048000000}"/>
    <hyperlink ref="B48" r:id="rId74" xr:uid="{00000000-0004-0000-0100-000049000000}"/>
    <hyperlink ref="B69" r:id="rId75" xr:uid="{00000000-0004-0000-0100-00004A000000}"/>
    <hyperlink ref="B58" r:id="rId76" xr:uid="{00000000-0004-0000-0100-00004B000000}"/>
    <hyperlink ref="B132" r:id="rId77" xr:uid="{00000000-0004-0000-0100-00004C000000}"/>
    <hyperlink ref="B22" r:id="rId78" xr:uid="{00000000-0004-0000-0100-00004D000000}"/>
    <hyperlink ref="B66" r:id="rId79" xr:uid="{00000000-0004-0000-0100-00004E000000}"/>
    <hyperlink ref="B79" r:id="rId80" xr:uid="{00000000-0004-0000-0100-00004F000000}"/>
    <hyperlink ref="B34" r:id="rId81" xr:uid="{00000000-0004-0000-0100-000050000000}"/>
    <hyperlink ref="B80" r:id="rId82" xr:uid="{00000000-0004-0000-0100-000051000000}"/>
    <hyperlink ref="B109" r:id="rId83" xr:uid="{00000000-0004-0000-0100-000052000000}"/>
    <hyperlink ref="B31" r:id="rId84" xr:uid="{00000000-0004-0000-0100-000053000000}"/>
    <hyperlink ref="B70" r:id="rId85" display="https://movegistics.com/netensity/" xr:uid="{00000000-0004-0000-0100-000054000000}"/>
    <hyperlink ref="B28" r:id="rId86" location="/" xr:uid="{00000000-0004-0000-0100-000055000000}"/>
    <hyperlink ref="B89" r:id="rId87" xr:uid="{00000000-0004-0000-0100-000056000000}"/>
    <hyperlink ref="B15" r:id="rId88" xr:uid="{00000000-0004-0000-0100-000057000000}"/>
    <hyperlink ref="B118" r:id="rId89" xr:uid="{00000000-0004-0000-0100-000058000000}"/>
    <hyperlink ref="B74" r:id="rId90" xr:uid="{00000000-0004-0000-0100-000059000000}"/>
    <hyperlink ref="B90" r:id="rId91" xr:uid="{00000000-0004-0000-0100-00005A000000}"/>
    <hyperlink ref="B42" r:id="rId92" xr:uid="{00000000-0004-0000-0100-00005B000000}"/>
    <hyperlink ref="B91" r:id="rId93" xr:uid="{00000000-0004-0000-0100-00005C000000}"/>
    <hyperlink ref="B81" r:id="rId94" xr:uid="{00000000-0004-0000-0100-00005D000000}"/>
    <hyperlink ref="B110" r:id="rId95" xr:uid="{00000000-0004-0000-0100-00005E000000}"/>
    <hyperlink ref="B121" r:id="rId96" xr:uid="{00000000-0004-0000-0100-00005F000000}"/>
    <hyperlink ref="B111" r:id="rId97" xr:uid="{00000000-0004-0000-0100-000060000000}"/>
    <hyperlink ref="B112" r:id="rId98" xr:uid="{00000000-0004-0000-0100-000061000000}"/>
    <hyperlink ref="B127" r:id="rId99" xr:uid="{00000000-0004-0000-0100-000062000000}"/>
    <hyperlink ref="B71" r:id="rId100" xr:uid="{00000000-0004-0000-0100-000063000000}"/>
    <hyperlink ref="B29" r:id="rId101" xr:uid="{00000000-0004-0000-0100-000064000000}"/>
    <hyperlink ref="B7" r:id="rId102" xr:uid="{00000000-0004-0000-0100-000065000000}"/>
    <hyperlink ref="B16" r:id="rId103" xr:uid="{00000000-0004-0000-0100-000066000000}"/>
    <hyperlink ref="B92" r:id="rId104" xr:uid="{00000000-0004-0000-0100-000067000000}"/>
    <hyperlink ref="B93" r:id="rId105" xr:uid="{00000000-0004-0000-0100-000068000000}"/>
    <hyperlink ref="B17" r:id="rId106" xr:uid="{00000000-0004-0000-0100-000069000000}"/>
    <hyperlink ref="B18" r:id="rId107" xr:uid="{00000000-0004-0000-0100-00006A000000}"/>
    <hyperlink ref="B54" r:id="rId108" xr:uid="{00000000-0004-0000-0100-00006C000000}"/>
    <hyperlink ref="B94" r:id="rId109" xr:uid="{00000000-0004-0000-0100-00006D000000}"/>
    <hyperlink ref="B95" r:id="rId110" xr:uid="{00000000-0004-0000-0100-00006E000000}"/>
    <hyperlink ref="B133" r:id="rId111" xr:uid="{00000000-0004-0000-0100-00006F000000}"/>
    <hyperlink ref="B33" r:id="rId112" xr:uid="{00000000-0004-0000-0100-000070000000}"/>
    <hyperlink ref="B47" r:id="rId113" xr:uid="{00000000-0004-0000-0100-000071000000}"/>
    <hyperlink ref="B119" r:id="rId114" xr:uid="{00000000-0004-0000-0100-000072000000}"/>
    <hyperlink ref="B120" r:id="rId115" xr:uid="{00000000-0004-0000-0100-000073000000}"/>
    <hyperlink ref="B72" r:id="rId116" xr:uid="{00000000-0004-0000-0100-000074000000}"/>
    <hyperlink ref="B35" r:id="rId117" xr:uid="{00000000-0004-0000-0100-000075000000}"/>
    <hyperlink ref="B46" r:id="rId118" xr:uid="{00000000-0004-0000-0100-000076000000}"/>
    <hyperlink ref="B23" r:id="rId119" xr:uid="{00000000-0004-0000-0100-000077000000}"/>
    <hyperlink ref="B45" r:id="rId120" xr:uid="{00000000-0004-0000-0100-000078000000}"/>
    <hyperlink ref="B59" r:id="rId121" xr:uid="{00000000-0004-0000-0100-000079000000}"/>
    <hyperlink ref="B73" r:id="rId122" xr:uid="{00000000-0004-0000-0100-00007A000000}"/>
    <hyperlink ref="B96" r:id="rId123" xr:uid="{00000000-0004-0000-0100-00007B000000}"/>
    <hyperlink ref="B97" r:id="rId124" xr:uid="{00000000-0004-0000-0100-00007C000000}"/>
    <hyperlink ref="B30" r:id="rId125" xr:uid="{00000000-0004-0000-0100-00007D000000}"/>
    <hyperlink ref="B98" r:id="rId126" xr:uid="{00000000-0004-0000-0100-00007E000000}"/>
    <hyperlink ref="B113" r:id="rId127" xr:uid="{00000000-0004-0000-0100-00007F000000}"/>
    <hyperlink ref="B49" r:id="rId128" xr:uid="{00000000-0004-0000-0100-000080000000}"/>
    <hyperlink ref="B55" r:id="rId129" xr:uid="{00000000-0004-0000-0100-000081000000}"/>
    <hyperlink ref="B114" r:id="rId130" xr:uid="{00000000-0004-0000-0100-000082000000}"/>
    <hyperlink ref="B115" r:id="rId131" xr:uid="{00000000-0004-0000-0100-000083000000}"/>
    <hyperlink ref="B5" r:id="rId132" display="https://www.workiz.com/industries/moving/?utm_medium=cpc&amp;utm_source=google_ads&amp;utm_campaign=Google-PMAX-Generic---US_CA-All-Leads-free_trial--Convertedleads-02/20/2024&amp;utm_adgroup=&amp;utm_term=&amp;utm_placement=&amp;utm_matchtype=&amp;utm_device=c&amp;utm_medium=cpc&amp;utm_source=google_ads&amp;utm_term=&amp;utm_campaign=Google-PMAX-Generic---US_CA-All-Leads---Converted+leads,+Phone+call+leads-02/12/2024&amp;hsa_acc=6404267763&amp;hsa_cam=21042084865&amp;hsa_grp=&amp;hsa_ad=&amp;hsa_src=x&amp;hsa_tgt=&amp;hsa_kw=&amp;hsa_mt=&amp;hsa_net=adwords&amp;hsa_ver=3&amp;gad_source=1&amp;gad_campaignid=21032085510&amp;gbraid=0AAAAACRwqRk9qOWwZxS_6Kk39hpMIOoJk&amp;gclid=EAIaIQobChMIs4nS77iwjwMVLlR_AB3uTS-JEAAYBCAAEgIBhfD_BwE" xr:uid="{00000000-0004-0000-0100-000084000000}"/>
    <hyperlink ref="B41" r:id="rId133" xr:uid="{00000000-0004-0000-0100-000085000000}"/>
    <hyperlink ref="B8" r:id="rId134" xr:uid="{00000000-0004-0000-0100-000086000000}"/>
    <hyperlink ref="B134" r:id="rId135" xr:uid="{0B64EFB9-F8E8-4621-9B58-91F0BF4B626B}"/>
    <hyperlink ref="B135" r:id="rId136" xr:uid="{DF48046E-B7FA-4697-AE85-2B56DEF28284}"/>
    <hyperlink ref="B51" r:id="rId137" xr:uid="{690854D7-DF8B-48BB-A717-C005340C7547}"/>
    <hyperlink ref="B137" r:id="rId138" xr:uid="{CDC80FAD-C7D6-4963-AADE-0895A2136BC6}"/>
    <hyperlink ref="B139" r:id="rId139" xr:uid="{F2DA9250-6C9B-4359-B46B-4803B005965F}"/>
    <hyperlink ref="B140" r:id="rId140" xr:uid="{6ADFD9F4-3522-4495-9124-28E9A42CE3C7}"/>
    <hyperlink ref="B142" r:id="rId141" xr:uid="{82A972C7-EC52-4B32-A571-B39FF91CD091}"/>
    <hyperlink ref="B143" r:id="rId142" xr:uid="{52B566DD-ABB7-485C-B46F-816483CDBBB7}"/>
    <hyperlink ref="B145" r:id="rId143" xr:uid="{05339EFA-D137-4F7E-8C17-4EC7CE6B12F1}"/>
    <hyperlink ref="B146" r:id="rId144" xr:uid="{A23E8E12-0BFD-4430-8E7B-927FDDBDD8A3}"/>
    <hyperlink ref="B147" r:id="rId145" xr:uid="{039C1D1D-7473-47EE-9822-56FDF569C354}"/>
    <hyperlink ref="B148" r:id="rId146" xr:uid="{8ABDB35D-ACCF-4A0C-8B24-A927D312CE84}"/>
    <hyperlink ref="B149" r:id="rId147" xr:uid="{B433E211-86CE-4762-92CD-5B616C2303F6}"/>
    <hyperlink ref="B150" r:id="rId148" xr:uid="{EEBFD3B9-E936-4B32-8357-34584BF3EFF6}"/>
    <hyperlink ref="B151" r:id="rId149" xr:uid="{281A9B95-47A3-41C7-8EF1-813742366701}"/>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48"/>
  <sheetViews>
    <sheetView workbookViewId="0">
      <pane xSplit="1" topLeftCell="B1" activePane="topRight" state="frozen"/>
      <selection pane="topRight" activeCell="A41" sqref="A41:XFD41"/>
    </sheetView>
  </sheetViews>
  <sheetFormatPr defaultColWidth="8.7109375" defaultRowHeight="13.5" customHeight="1"/>
  <cols>
    <col min="1" max="1" width="35" bestFit="1" customWidth="1"/>
    <col min="2" max="2" width="32.140625" customWidth="1"/>
    <col min="3" max="3" width="58.140625" style="235" customWidth="1"/>
    <col min="4" max="4" width="21.140625" customWidth="1"/>
    <col min="5" max="5" width="166.42578125" style="242" customWidth="1"/>
    <col min="6" max="6" width="78.42578125" customWidth="1"/>
    <col min="7" max="7" width="8.7109375" customWidth="1"/>
  </cols>
  <sheetData>
    <row r="1" spans="1:38" ht="13.5" customHeight="1">
      <c r="A1" s="55" t="s">
        <v>5</v>
      </c>
      <c r="B1" s="54" t="s">
        <v>808</v>
      </c>
      <c r="C1" s="221" t="s">
        <v>6</v>
      </c>
      <c r="D1" s="54" t="s">
        <v>1</v>
      </c>
      <c r="E1" s="236" t="s">
        <v>1</v>
      </c>
      <c r="F1" s="57" t="s">
        <v>809</v>
      </c>
      <c r="G1" s="56"/>
      <c r="H1" s="54" t="s">
        <v>9</v>
      </c>
      <c r="I1" s="54"/>
      <c r="J1" s="54" t="s">
        <v>10</v>
      </c>
      <c r="K1" s="54"/>
      <c r="L1" s="54" t="s">
        <v>11</v>
      </c>
      <c r="M1" s="54"/>
      <c r="N1" s="54" t="s">
        <v>12</v>
      </c>
      <c r="O1" s="54"/>
      <c r="P1" s="54" t="s">
        <v>13</v>
      </c>
      <c r="Q1" s="54"/>
      <c r="R1" s="54" t="s">
        <v>14</v>
      </c>
      <c r="S1" s="54"/>
      <c r="T1" s="54" t="s">
        <v>15</v>
      </c>
      <c r="U1" s="54"/>
      <c r="V1" s="54" t="s">
        <v>16</v>
      </c>
      <c r="W1" s="54"/>
      <c r="X1" s="54" t="s">
        <v>17</v>
      </c>
      <c r="Y1" s="54"/>
      <c r="Z1" s="54" t="s">
        <v>18</v>
      </c>
      <c r="AA1" s="54"/>
      <c r="AB1" s="54" t="s">
        <v>19</v>
      </c>
      <c r="AC1" s="54"/>
      <c r="AD1" s="54" t="s">
        <v>20</v>
      </c>
      <c r="AE1" s="54"/>
      <c r="AF1" s="54" t="s">
        <v>21</v>
      </c>
      <c r="AG1" s="54"/>
      <c r="AH1" s="54" t="s">
        <v>22</v>
      </c>
      <c r="AI1" s="54"/>
      <c r="AJ1" s="54" t="s">
        <v>23</v>
      </c>
      <c r="AK1" s="54" t="s">
        <v>24</v>
      </c>
      <c r="AL1" s="57" t="s">
        <v>810</v>
      </c>
    </row>
    <row r="2" spans="1:38" ht="13.5" customHeight="1">
      <c r="A2" s="1" t="s">
        <v>811</v>
      </c>
      <c r="B2" s="73" t="s">
        <v>812</v>
      </c>
      <c r="C2" s="222" t="s">
        <v>813</v>
      </c>
      <c r="D2" s="78"/>
      <c r="E2" s="237" t="s">
        <v>814</v>
      </c>
      <c r="F2" s="2" t="s">
        <v>815</v>
      </c>
      <c r="G2" s="7" t="s">
        <v>4</v>
      </c>
      <c r="H2" s="3"/>
      <c r="I2" s="10" t="s">
        <v>4</v>
      </c>
      <c r="J2" s="3"/>
      <c r="K2" s="12" t="s">
        <v>57</v>
      </c>
      <c r="L2" s="3" t="s">
        <v>816</v>
      </c>
      <c r="M2" s="23" t="s">
        <v>57</v>
      </c>
      <c r="N2" s="3" t="s">
        <v>817</v>
      </c>
      <c r="O2" s="14" t="s">
        <v>57</v>
      </c>
      <c r="P2" s="3" t="s">
        <v>818</v>
      </c>
      <c r="Q2" s="16" t="s">
        <v>4</v>
      </c>
      <c r="R2" s="3"/>
      <c r="S2" s="18" t="s">
        <v>57</v>
      </c>
      <c r="T2" s="3" t="s">
        <v>819</v>
      </c>
      <c r="U2" s="20" t="s">
        <v>4</v>
      </c>
      <c r="V2" s="3"/>
      <c r="W2" s="22" t="s">
        <v>4</v>
      </c>
      <c r="X2" s="3"/>
      <c r="Y2" s="30" t="s">
        <v>4</v>
      </c>
      <c r="Z2" s="3"/>
      <c r="AA2" s="26" t="s">
        <v>4</v>
      </c>
      <c r="AB2" s="3"/>
      <c r="AC2" s="28" t="s">
        <v>4</v>
      </c>
      <c r="AD2" s="3"/>
      <c r="AE2" s="32" t="s">
        <v>4</v>
      </c>
      <c r="AF2" s="3"/>
      <c r="AG2" s="34" t="s">
        <v>4</v>
      </c>
      <c r="AH2" s="3"/>
      <c r="AI2" s="36" t="s">
        <v>820</v>
      </c>
      <c r="AJ2" s="2" t="s">
        <v>821</v>
      </c>
      <c r="AK2" s="3" t="s">
        <v>822</v>
      </c>
      <c r="AL2" s="99" t="s">
        <v>823</v>
      </c>
    </row>
    <row r="3" spans="1:38" ht="13.5" customHeight="1">
      <c r="A3" s="357" t="s">
        <v>824</v>
      </c>
      <c r="B3" s="358" t="s">
        <v>812</v>
      </c>
      <c r="C3" s="359" t="s">
        <v>825</v>
      </c>
      <c r="D3" s="360"/>
      <c r="E3" s="361" t="s">
        <v>826</v>
      </c>
      <c r="F3" s="362" t="s">
        <v>827</v>
      </c>
      <c r="G3" s="8" t="s">
        <v>57</v>
      </c>
      <c r="H3" s="6"/>
      <c r="I3" s="9" t="s">
        <v>57</v>
      </c>
      <c r="J3" s="6" t="s">
        <v>828</v>
      </c>
      <c r="K3" s="11" t="s">
        <v>57</v>
      </c>
      <c r="L3" s="6" t="s">
        <v>829</v>
      </c>
      <c r="M3" s="24" t="s">
        <v>57</v>
      </c>
      <c r="N3" s="6" t="s">
        <v>830</v>
      </c>
      <c r="O3" s="13" t="s">
        <v>57</v>
      </c>
      <c r="P3" s="6"/>
      <c r="Q3" s="15" t="s">
        <v>57</v>
      </c>
      <c r="R3" s="6" t="s">
        <v>831</v>
      </c>
      <c r="S3" s="17" t="s">
        <v>57</v>
      </c>
      <c r="T3" s="6" t="s">
        <v>832</v>
      </c>
      <c r="U3" s="19" t="s">
        <v>57</v>
      </c>
      <c r="V3" s="6" t="s">
        <v>833</v>
      </c>
      <c r="W3" s="21" t="s">
        <v>57</v>
      </c>
      <c r="X3" s="6" t="s">
        <v>834</v>
      </c>
      <c r="Y3" s="29" t="s">
        <v>4</v>
      </c>
      <c r="Z3" s="6"/>
      <c r="AA3" s="25" t="s">
        <v>57</v>
      </c>
      <c r="AB3" s="6" t="s">
        <v>835</v>
      </c>
      <c r="AC3" s="27" t="s">
        <v>4</v>
      </c>
      <c r="AD3" s="6"/>
      <c r="AE3" s="31" t="s">
        <v>57</v>
      </c>
      <c r="AF3" s="6" t="s">
        <v>836</v>
      </c>
      <c r="AG3" s="33" t="s">
        <v>4</v>
      </c>
      <c r="AH3" s="6"/>
      <c r="AI3" s="35" t="s">
        <v>272</v>
      </c>
      <c r="AJ3" s="6" t="s">
        <v>837</v>
      </c>
      <c r="AK3" s="6" t="s">
        <v>838</v>
      </c>
      <c r="AL3" s="99" t="s">
        <v>839</v>
      </c>
    </row>
    <row r="4" spans="1:38" s="154" customFormat="1" ht="38.25">
      <c r="A4" s="1" t="s">
        <v>840</v>
      </c>
      <c r="B4" s="401" t="s">
        <v>812</v>
      </c>
      <c r="C4" s="243" t="s">
        <v>841</v>
      </c>
      <c r="D4" s="78"/>
      <c r="E4" s="237" t="s">
        <v>842</v>
      </c>
      <c r="F4" s="2" t="s">
        <v>843</v>
      </c>
      <c r="G4" s="7" t="s">
        <v>4</v>
      </c>
      <c r="H4" s="3"/>
      <c r="I4" s="10" t="s">
        <v>4</v>
      </c>
      <c r="J4" s="3"/>
      <c r="K4" s="12" t="s">
        <v>4</v>
      </c>
      <c r="L4" s="3"/>
      <c r="M4" s="23" t="s">
        <v>4</v>
      </c>
      <c r="N4" s="3"/>
      <c r="O4" s="14" t="s">
        <v>57</v>
      </c>
      <c r="P4" s="3" t="s">
        <v>844</v>
      </c>
      <c r="Q4" s="16" t="s">
        <v>57</v>
      </c>
      <c r="R4" s="3" t="s">
        <v>845</v>
      </c>
      <c r="S4" s="18" t="s">
        <v>57</v>
      </c>
      <c r="T4" s="3" t="s">
        <v>846</v>
      </c>
      <c r="U4" s="20" t="s">
        <v>57</v>
      </c>
      <c r="V4" s="3" t="s">
        <v>847</v>
      </c>
      <c r="W4" s="22" t="s">
        <v>4</v>
      </c>
      <c r="X4" s="3"/>
      <c r="Y4" s="30" t="s">
        <v>57</v>
      </c>
      <c r="Z4" s="3" t="s">
        <v>848</v>
      </c>
      <c r="AA4" s="26" t="s">
        <v>57</v>
      </c>
      <c r="AB4" s="3" t="s">
        <v>849</v>
      </c>
      <c r="AC4" s="28" t="s">
        <v>57</v>
      </c>
      <c r="AD4" s="3" t="s">
        <v>850</v>
      </c>
      <c r="AE4" s="32" t="s">
        <v>57</v>
      </c>
      <c r="AF4" s="3" t="s">
        <v>851</v>
      </c>
      <c r="AG4" s="34" t="s">
        <v>4</v>
      </c>
      <c r="AH4" s="3"/>
      <c r="AI4" s="36" t="s">
        <v>272</v>
      </c>
      <c r="AJ4" s="2" t="s">
        <v>852</v>
      </c>
      <c r="AK4" s="3" t="s">
        <v>59</v>
      </c>
      <c r="AL4" s="244" t="s">
        <v>853</v>
      </c>
    </row>
    <row r="5" spans="1:38" ht="13.5" customHeight="1">
      <c r="A5" s="1" t="s">
        <v>854</v>
      </c>
      <c r="B5" s="73" t="s">
        <v>812</v>
      </c>
      <c r="C5" s="224" t="s">
        <v>855</v>
      </c>
      <c r="D5" s="95"/>
      <c r="E5" s="237" t="s">
        <v>856</v>
      </c>
      <c r="F5" s="2" t="s">
        <v>857</v>
      </c>
      <c r="G5" s="7" t="s">
        <v>4</v>
      </c>
      <c r="H5" s="2"/>
      <c r="I5" s="9" t="s">
        <v>4</v>
      </c>
      <c r="J5" s="2"/>
      <c r="K5" s="11" t="s">
        <v>4</v>
      </c>
      <c r="L5" s="2"/>
      <c r="M5" s="24" t="s">
        <v>4</v>
      </c>
      <c r="N5" s="2"/>
      <c r="O5" s="13" t="s">
        <v>4</v>
      </c>
      <c r="P5" s="2"/>
      <c r="Q5" s="15" t="s">
        <v>4</v>
      </c>
      <c r="R5" s="2"/>
      <c r="S5" s="17" t="s">
        <v>4</v>
      </c>
      <c r="T5" s="2"/>
      <c r="U5" s="19" t="s">
        <v>4</v>
      </c>
      <c r="V5" s="2"/>
      <c r="W5" s="21" t="s">
        <v>4</v>
      </c>
      <c r="X5" s="2"/>
      <c r="Y5" s="29" t="s">
        <v>4</v>
      </c>
      <c r="Z5" s="2"/>
      <c r="AA5" s="25" t="s">
        <v>4</v>
      </c>
      <c r="AB5" s="2"/>
      <c r="AC5" s="27" t="s">
        <v>4</v>
      </c>
      <c r="AD5" s="2"/>
      <c r="AE5" s="31" t="s">
        <v>4</v>
      </c>
      <c r="AF5" s="2"/>
      <c r="AG5" s="33" t="s">
        <v>4</v>
      </c>
      <c r="AH5" s="2"/>
      <c r="AI5" s="35" t="s">
        <v>820</v>
      </c>
      <c r="AJ5" s="2" t="s">
        <v>858</v>
      </c>
      <c r="AK5" s="2" t="s">
        <v>59</v>
      </c>
      <c r="AL5" s="99" t="s">
        <v>859</v>
      </c>
    </row>
    <row r="6" spans="1:38" ht="13.5" customHeight="1">
      <c r="A6" s="1" t="s">
        <v>860</v>
      </c>
      <c r="B6" s="73" t="s">
        <v>812</v>
      </c>
      <c r="C6" s="222" t="s">
        <v>861</v>
      </c>
      <c r="D6" s="78"/>
      <c r="E6" s="237" t="s">
        <v>862</v>
      </c>
      <c r="F6" s="2" t="s">
        <v>863</v>
      </c>
      <c r="G6" s="7" t="s">
        <v>4</v>
      </c>
      <c r="H6" s="3"/>
      <c r="I6" s="10" t="s">
        <v>4</v>
      </c>
      <c r="J6" s="3"/>
      <c r="K6" s="12" t="s">
        <v>4</v>
      </c>
      <c r="L6" s="3"/>
      <c r="M6" s="23" t="s">
        <v>4</v>
      </c>
      <c r="N6" s="3"/>
      <c r="O6" s="14" t="s">
        <v>4</v>
      </c>
      <c r="P6" s="3"/>
      <c r="Q6" s="16" t="s">
        <v>4</v>
      </c>
      <c r="R6" s="3"/>
      <c r="S6" s="18" t="s">
        <v>4</v>
      </c>
      <c r="T6" s="3"/>
      <c r="U6" s="20" t="s">
        <v>4</v>
      </c>
      <c r="V6" s="3"/>
      <c r="W6" s="22" t="s">
        <v>4</v>
      </c>
      <c r="X6" s="3"/>
      <c r="Y6" s="30" t="s">
        <v>4</v>
      </c>
      <c r="Z6" s="3"/>
      <c r="AA6" s="26" t="s">
        <v>4</v>
      </c>
      <c r="AB6" s="3"/>
      <c r="AC6" s="28" t="s">
        <v>4</v>
      </c>
      <c r="AD6" s="3"/>
      <c r="AE6" s="32" t="s">
        <v>4</v>
      </c>
      <c r="AF6" s="3"/>
      <c r="AG6" s="34" t="s">
        <v>4</v>
      </c>
      <c r="AH6" s="3"/>
      <c r="AI6" s="36" t="s">
        <v>272</v>
      </c>
      <c r="AJ6" s="2" t="s">
        <v>864</v>
      </c>
      <c r="AK6" s="3" t="s">
        <v>59</v>
      </c>
      <c r="AL6" s="99" t="s">
        <v>865</v>
      </c>
    </row>
    <row r="7" spans="1:38" ht="13.5" customHeight="1">
      <c r="A7" s="1" t="s">
        <v>866</v>
      </c>
      <c r="B7" s="73" t="s">
        <v>812</v>
      </c>
      <c r="C7" s="224" t="s">
        <v>867</v>
      </c>
      <c r="D7" s="95"/>
      <c r="E7" s="237" t="s">
        <v>868</v>
      </c>
      <c r="F7" s="2" t="s">
        <v>869</v>
      </c>
      <c r="G7" s="7" t="s">
        <v>4</v>
      </c>
      <c r="H7" s="2"/>
      <c r="I7" s="9" t="s">
        <v>4</v>
      </c>
      <c r="J7" s="2"/>
      <c r="K7" s="11" t="s">
        <v>4</v>
      </c>
      <c r="L7" s="2"/>
      <c r="M7" s="24" t="s">
        <v>4</v>
      </c>
      <c r="N7" s="2"/>
      <c r="O7" s="13" t="s">
        <v>4</v>
      </c>
      <c r="P7" s="2"/>
      <c r="Q7" s="15" t="s">
        <v>4</v>
      </c>
      <c r="R7" s="2"/>
      <c r="S7" s="17" t="s">
        <v>4</v>
      </c>
      <c r="T7" s="2"/>
      <c r="U7" s="19" t="s">
        <v>4</v>
      </c>
      <c r="V7" s="2"/>
      <c r="W7" s="21" t="s">
        <v>4</v>
      </c>
      <c r="X7" s="2"/>
      <c r="Y7" s="29" t="s">
        <v>4</v>
      </c>
      <c r="Z7" s="2"/>
      <c r="AA7" s="25" t="s">
        <v>4</v>
      </c>
      <c r="AB7" s="2"/>
      <c r="AC7" s="27" t="s">
        <v>4</v>
      </c>
      <c r="AD7" s="2"/>
      <c r="AE7" s="31" t="s">
        <v>4</v>
      </c>
      <c r="AF7" s="2"/>
      <c r="AG7" s="33" t="s">
        <v>4</v>
      </c>
      <c r="AH7" s="2"/>
      <c r="AI7" s="35" t="s">
        <v>272</v>
      </c>
      <c r="AJ7" s="2" t="s">
        <v>870</v>
      </c>
      <c r="AK7" s="2" t="s">
        <v>871</v>
      </c>
      <c r="AL7" s="99" t="s">
        <v>872</v>
      </c>
    </row>
    <row r="8" spans="1:38" ht="13.5" customHeight="1">
      <c r="A8" s="4" t="s">
        <v>873</v>
      </c>
      <c r="B8" s="73" t="s">
        <v>812</v>
      </c>
      <c r="C8" s="225" t="s">
        <v>874</v>
      </c>
      <c r="D8" s="94"/>
      <c r="E8" s="237" t="s">
        <v>875</v>
      </c>
      <c r="F8" s="2" t="s">
        <v>876</v>
      </c>
      <c r="G8" s="8" t="s">
        <v>4</v>
      </c>
      <c r="H8" s="5"/>
      <c r="I8" s="10" t="s">
        <v>4</v>
      </c>
      <c r="J8" s="5"/>
      <c r="K8" s="12" t="s">
        <v>4</v>
      </c>
      <c r="L8" s="5"/>
      <c r="M8" s="23" t="s">
        <v>4</v>
      </c>
      <c r="N8" s="5"/>
      <c r="O8" s="14" t="s">
        <v>4</v>
      </c>
      <c r="P8" s="5"/>
      <c r="Q8" s="16" t="s">
        <v>4</v>
      </c>
      <c r="R8" s="5"/>
      <c r="S8" s="18" t="s">
        <v>4</v>
      </c>
      <c r="T8" s="5"/>
      <c r="U8" s="20" t="s">
        <v>4</v>
      </c>
      <c r="V8" s="5"/>
      <c r="W8" s="22" t="s">
        <v>4</v>
      </c>
      <c r="X8" s="5"/>
      <c r="Y8" s="30" t="s">
        <v>4</v>
      </c>
      <c r="Z8" s="5"/>
      <c r="AA8" s="26" t="s">
        <v>4</v>
      </c>
      <c r="AB8" s="5"/>
      <c r="AC8" s="28" t="s">
        <v>4</v>
      </c>
      <c r="AD8" s="5"/>
      <c r="AE8" s="32" t="s">
        <v>4</v>
      </c>
      <c r="AF8" s="5"/>
      <c r="AG8" s="34" t="s">
        <v>4</v>
      </c>
      <c r="AH8" s="5"/>
      <c r="AI8" s="36" t="s">
        <v>820</v>
      </c>
      <c r="AJ8" s="6" t="s">
        <v>877</v>
      </c>
      <c r="AK8" s="5" t="s">
        <v>878</v>
      </c>
      <c r="AL8" s="99" t="s">
        <v>879</v>
      </c>
    </row>
    <row r="9" spans="1:38" ht="13.5" customHeight="1">
      <c r="A9" s="4" t="s">
        <v>880</v>
      </c>
      <c r="B9" s="73" t="s">
        <v>812</v>
      </c>
      <c r="C9" s="223" t="s">
        <v>881</v>
      </c>
      <c r="D9" s="93"/>
      <c r="E9" s="237" t="s">
        <v>882</v>
      </c>
      <c r="F9" s="2" t="s">
        <v>883</v>
      </c>
      <c r="G9" s="8" t="s">
        <v>4</v>
      </c>
      <c r="H9" s="6"/>
      <c r="I9" s="9" t="s">
        <v>4</v>
      </c>
      <c r="J9" s="6"/>
      <c r="K9" s="11" t="s">
        <v>57</v>
      </c>
      <c r="L9" s="6" t="s">
        <v>884</v>
      </c>
      <c r="M9" s="24" t="s">
        <v>57</v>
      </c>
      <c r="N9" s="6" t="s">
        <v>885</v>
      </c>
      <c r="O9" s="13" t="s">
        <v>57</v>
      </c>
      <c r="P9" s="6" t="s">
        <v>886</v>
      </c>
      <c r="Q9" s="15" t="s">
        <v>4</v>
      </c>
      <c r="R9" s="6"/>
      <c r="S9" s="17" t="s">
        <v>57</v>
      </c>
      <c r="T9" s="6" t="s">
        <v>887</v>
      </c>
      <c r="U9" s="19" t="s">
        <v>4</v>
      </c>
      <c r="V9" s="6"/>
      <c r="W9" s="21" t="s">
        <v>4</v>
      </c>
      <c r="X9" s="6"/>
      <c r="Y9" s="29" t="s">
        <v>4</v>
      </c>
      <c r="Z9" s="6"/>
      <c r="AA9" s="25" t="s">
        <v>4</v>
      </c>
      <c r="AB9" s="6"/>
      <c r="AC9" s="27" t="s">
        <v>4</v>
      </c>
      <c r="AD9" s="6"/>
      <c r="AE9" s="31" t="s">
        <v>4</v>
      </c>
      <c r="AF9" s="6"/>
      <c r="AG9" s="33" t="s">
        <v>4</v>
      </c>
      <c r="AH9" s="6"/>
      <c r="AI9" s="35" t="s">
        <v>820</v>
      </c>
      <c r="AJ9" s="151" t="s">
        <v>888</v>
      </c>
      <c r="AK9" s="6" t="s">
        <v>59</v>
      </c>
      <c r="AL9" s="99" t="s">
        <v>889</v>
      </c>
    </row>
    <row r="10" spans="1:38" ht="13.5" customHeight="1">
      <c r="A10" s="1" t="s">
        <v>890</v>
      </c>
      <c r="B10" s="73" t="s">
        <v>812</v>
      </c>
      <c r="C10" s="222" t="s">
        <v>891</v>
      </c>
      <c r="D10" s="78"/>
      <c r="E10" s="237" t="s">
        <v>892</v>
      </c>
      <c r="F10" s="2" t="s">
        <v>893</v>
      </c>
      <c r="G10" s="7" t="s">
        <v>4</v>
      </c>
      <c r="H10" s="3"/>
      <c r="I10" s="10" t="s">
        <v>4</v>
      </c>
      <c r="J10" s="3"/>
      <c r="K10" s="12" t="s">
        <v>4</v>
      </c>
      <c r="L10" s="3"/>
      <c r="M10" s="23" t="s">
        <v>4</v>
      </c>
      <c r="N10" s="3"/>
      <c r="O10" s="14" t="s">
        <v>4</v>
      </c>
      <c r="P10" s="3"/>
      <c r="Q10" s="16" t="s">
        <v>4</v>
      </c>
      <c r="R10" s="3"/>
      <c r="S10" s="18" t="s">
        <v>4</v>
      </c>
      <c r="T10" s="3"/>
      <c r="U10" s="20" t="s">
        <v>4</v>
      </c>
      <c r="V10" s="3"/>
      <c r="W10" s="22" t="s">
        <v>4</v>
      </c>
      <c r="X10" s="3"/>
      <c r="Y10" s="30" t="s">
        <v>4</v>
      </c>
      <c r="Z10" s="3"/>
      <c r="AA10" s="26" t="s">
        <v>57</v>
      </c>
      <c r="AB10" s="3" t="s">
        <v>894</v>
      </c>
      <c r="AC10" s="28" t="s">
        <v>57</v>
      </c>
      <c r="AD10" s="3" t="s">
        <v>895</v>
      </c>
      <c r="AE10" s="32" t="s">
        <v>57</v>
      </c>
      <c r="AF10" s="3" t="s">
        <v>896</v>
      </c>
      <c r="AG10" s="34" t="s">
        <v>4</v>
      </c>
      <c r="AH10" s="3"/>
      <c r="AI10" s="36" t="s">
        <v>272</v>
      </c>
      <c r="AJ10" s="2" t="s">
        <v>897</v>
      </c>
      <c r="AK10" s="3" t="s">
        <v>838</v>
      </c>
      <c r="AL10" s="99" t="s">
        <v>898</v>
      </c>
    </row>
    <row r="11" spans="1:38" ht="13.5" customHeight="1">
      <c r="A11" s="4" t="s">
        <v>899</v>
      </c>
      <c r="B11" s="73" t="s">
        <v>812</v>
      </c>
      <c r="C11" s="225" t="s">
        <v>900</v>
      </c>
      <c r="D11" s="94"/>
      <c r="E11" s="237" t="s">
        <v>901</v>
      </c>
      <c r="F11" s="2" t="s">
        <v>902</v>
      </c>
      <c r="G11" s="8" t="s">
        <v>4</v>
      </c>
      <c r="H11" s="5"/>
      <c r="I11" s="10" t="s">
        <v>4</v>
      </c>
      <c r="J11" s="5"/>
      <c r="K11" s="12" t="s">
        <v>4</v>
      </c>
      <c r="L11" s="5"/>
      <c r="M11" s="23" t="s">
        <v>4</v>
      </c>
      <c r="N11" s="5"/>
      <c r="O11" s="14" t="s">
        <v>57</v>
      </c>
      <c r="P11" s="5" t="s">
        <v>903</v>
      </c>
      <c r="Q11" s="16" t="s">
        <v>4</v>
      </c>
      <c r="R11" s="5"/>
      <c r="S11" s="18" t="s">
        <v>4</v>
      </c>
      <c r="T11" s="5"/>
      <c r="U11" s="20" t="s">
        <v>4</v>
      </c>
      <c r="V11" s="5"/>
      <c r="W11" s="22" t="s">
        <v>4</v>
      </c>
      <c r="X11" s="5"/>
      <c r="Y11" s="30" t="s">
        <v>4</v>
      </c>
      <c r="Z11" s="5"/>
      <c r="AA11" s="26" t="s">
        <v>4</v>
      </c>
      <c r="AB11" s="5"/>
      <c r="AC11" s="28" t="s">
        <v>4</v>
      </c>
      <c r="AD11" s="5"/>
      <c r="AE11" s="32" t="s">
        <v>4</v>
      </c>
      <c r="AF11" s="5"/>
      <c r="AG11" s="34" t="s">
        <v>4</v>
      </c>
      <c r="AH11" s="5"/>
      <c r="AI11" s="36" t="s">
        <v>272</v>
      </c>
      <c r="AJ11" s="6" t="s">
        <v>904</v>
      </c>
      <c r="AK11" s="5" t="s">
        <v>59</v>
      </c>
      <c r="AL11" s="99" t="s">
        <v>905</v>
      </c>
    </row>
    <row r="12" spans="1:38" ht="13.5" customHeight="1">
      <c r="A12" s="4" t="s">
        <v>906</v>
      </c>
      <c r="B12" s="73" t="s">
        <v>812</v>
      </c>
      <c r="C12" s="225" t="s">
        <v>907</v>
      </c>
      <c r="D12" s="94"/>
      <c r="E12" s="237" t="s">
        <v>908</v>
      </c>
      <c r="F12" s="2" t="s">
        <v>909</v>
      </c>
      <c r="G12" s="8" t="s">
        <v>4</v>
      </c>
      <c r="H12" s="5"/>
      <c r="I12" s="10" t="s">
        <v>4</v>
      </c>
      <c r="J12" s="5"/>
      <c r="K12" s="12" t="s">
        <v>4</v>
      </c>
      <c r="L12" s="5"/>
      <c r="M12" s="23" t="s">
        <v>4</v>
      </c>
      <c r="N12" s="5"/>
      <c r="O12" s="14" t="s">
        <v>57</v>
      </c>
      <c r="P12" s="5" t="s">
        <v>910</v>
      </c>
      <c r="Q12" s="16" t="s">
        <v>4</v>
      </c>
      <c r="R12" s="5"/>
      <c r="S12" s="18" t="s">
        <v>4</v>
      </c>
      <c r="T12" s="5"/>
      <c r="U12" s="20" t="s">
        <v>4</v>
      </c>
      <c r="V12" s="5"/>
      <c r="W12" s="22" t="s">
        <v>4</v>
      </c>
      <c r="X12" s="5"/>
      <c r="Y12" s="30" t="s">
        <v>4</v>
      </c>
      <c r="Z12" s="5"/>
      <c r="AA12" s="26" t="s">
        <v>4</v>
      </c>
      <c r="AB12" s="5"/>
      <c r="AC12" s="28" t="s">
        <v>4</v>
      </c>
      <c r="AD12" s="5"/>
      <c r="AE12" s="32" t="s">
        <v>57</v>
      </c>
      <c r="AF12" s="5" t="s">
        <v>911</v>
      </c>
      <c r="AG12" s="34" t="s">
        <v>4</v>
      </c>
      <c r="AH12" s="5"/>
      <c r="AI12" s="36" t="s">
        <v>820</v>
      </c>
      <c r="AJ12" s="6" t="s">
        <v>912</v>
      </c>
      <c r="AK12" s="5" t="s">
        <v>59</v>
      </c>
      <c r="AL12" s="99" t="s">
        <v>913</v>
      </c>
    </row>
    <row r="13" spans="1:38" ht="25.5">
      <c r="A13" s="1" t="s">
        <v>914</v>
      </c>
      <c r="B13" s="73" t="s">
        <v>812</v>
      </c>
      <c r="C13" s="224" t="s">
        <v>915</v>
      </c>
      <c r="D13" s="95"/>
      <c r="E13" s="237" t="s">
        <v>916</v>
      </c>
      <c r="F13" s="2" t="s">
        <v>917</v>
      </c>
      <c r="G13" s="7" t="s">
        <v>4</v>
      </c>
      <c r="H13" s="2"/>
      <c r="I13" s="9" t="s">
        <v>4</v>
      </c>
      <c r="J13" s="2"/>
      <c r="K13" s="11" t="s">
        <v>4</v>
      </c>
      <c r="L13" s="2"/>
      <c r="M13" s="24" t="s">
        <v>4</v>
      </c>
      <c r="N13" s="2"/>
      <c r="O13" s="13" t="s">
        <v>4</v>
      </c>
      <c r="P13" s="2"/>
      <c r="Q13" s="15" t="s">
        <v>4</v>
      </c>
      <c r="R13" s="2"/>
      <c r="S13" s="17" t="s">
        <v>4</v>
      </c>
      <c r="T13" s="2"/>
      <c r="U13" s="19" t="s">
        <v>4</v>
      </c>
      <c r="V13" s="2"/>
      <c r="W13" s="21" t="s">
        <v>4</v>
      </c>
      <c r="X13" s="2"/>
      <c r="Y13" s="29" t="s">
        <v>4</v>
      </c>
      <c r="Z13" s="2"/>
      <c r="AA13" s="25" t="s">
        <v>4</v>
      </c>
      <c r="AB13" s="2"/>
      <c r="AC13" s="27" t="s">
        <v>4</v>
      </c>
      <c r="AD13" s="2"/>
      <c r="AE13" s="31" t="s">
        <v>4</v>
      </c>
      <c r="AF13" s="2"/>
      <c r="AG13" s="33" t="s">
        <v>4</v>
      </c>
      <c r="AH13" s="2"/>
      <c r="AI13" s="35" t="s">
        <v>820</v>
      </c>
      <c r="AJ13" s="6" t="s">
        <v>918</v>
      </c>
      <c r="AK13" s="2" t="s">
        <v>59</v>
      </c>
      <c r="AL13" s="99" t="s">
        <v>919</v>
      </c>
    </row>
    <row r="14" spans="1:38" ht="13.5" customHeight="1">
      <c r="A14" s="4" t="s">
        <v>920</v>
      </c>
      <c r="B14" s="73" t="s">
        <v>812</v>
      </c>
      <c r="C14" s="223" t="s">
        <v>921</v>
      </c>
      <c r="D14" s="93"/>
      <c r="E14" s="237" t="s">
        <v>922</v>
      </c>
      <c r="F14" s="2" t="s">
        <v>923</v>
      </c>
      <c r="G14" s="8" t="s">
        <v>4</v>
      </c>
      <c r="H14" s="6"/>
      <c r="I14" s="9" t="s">
        <v>4</v>
      </c>
      <c r="J14" s="6"/>
      <c r="K14" s="11" t="s">
        <v>4</v>
      </c>
      <c r="L14" s="6"/>
      <c r="M14" s="24" t="s">
        <v>4</v>
      </c>
      <c r="N14" s="6"/>
      <c r="O14" s="13" t="s">
        <v>4</v>
      </c>
      <c r="P14" s="6"/>
      <c r="Q14" s="15" t="s">
        <v>4</v>
      </c>
      <c r="R14" s="6"/>
      <c r="S14" s="17" t="s">
        <v>4</v>
      </c>
      <c r="T14" s="6"/>
      <c r="U14" s="19" t="s">
        <v>4</v>
      </c>
      <c r="V14" s="6"/>
      <c r="W14" s="21" t="s">
        <v>4</v>
      </c>
      <c r="X14" s="6"/>
      <c r="Y14" s="29" t="s">
        <v>4</v>
      </c>
      <c r="Z14" s="6"/>
      <c r="AA14" s="25" t="s">
        <v>4</v>
      </c>
      <c r="AB14" s="6"/>
      <c r="AC14" s="27" t="s">
        <v>4</v>
      </c>
      <c r="AD14" s="6"/>
      <c r="AE14" s="31" t="s">
        <v>57</v>
      </c>
      <c r="AF14" s="6"/>
      <c r="AG14" s="33" t="s">
        <v>4</v>
      </c>
      <c r="AH14" s="6"/>
      <c r="AI14" s="35" t="s">
        <v>820</v>
      </c>
      <c r="AJ14" s="6" t="s">
        <v>924</v>
      </c>
      <c r="AK14" s="6" t="s">
        <v>59</v>
      </c>
      <c r="AL14" s="99" t="s">
        <v>925</v>
      </c>
    </row>
    <row r="15" spans="1:38" ht="13.5" customHeight="1">
      <c r="A15" s="1" t="s">
        <v>926</v>
      </c>
      <c r="B15" s="73" t="s">
        <v>812</v>
      </c>
      <c r="C15" s="222" t="s">
        <v>927</v>
      </c>
      <c r="D15" s="78"/>
      <c r="E15" s="237" t="s">
        <v>928</v>
      </c>
      <c r="F15" s="2" t="s">
        <v>929</v>
      </c>
      <c r="G15" s="7" t="s">
        <v>4</v>
      </c>
      <c r="H15" s="3"/>
      <c r="I15" s="10" t="s">
        <v>4</v>
      </c>
      <c r="J15" s="3"/>
      <c r="K15" s="12" t="s">
        <v>4</v>
      </c>
      <c r="L15" s="3"/>
      <c r="M15" s="23" t="s">
        <v>4</v>
      </c>
      <c r="N15" s="3"/>
      <c r="O15" s="14" t="s">
        <v>4</v>
      </c>
      <c r="P15" s="3"/>
      <c r="Q15" s="16" t="s">
        <v>4</v>
      </c>
      <c r="R15" s="3"/>
      <c r="S15" s="18" t="s">
        <v>4</v>
      </c>
      <c r="T15" s="3"/>
      <c r="U15" s="20" t="s">
        <v>57</v>
      </c>
      <c r="V15" s="3" t="s">
        <v>930</v>
      </c>
      <c r="W15" s="22" t="s">
        <v>57</v>
      </c>
      <c r="X15" s="3" t="s">
        <v>931</v>
      </c>
      <c r="Y15" s="30" t="s">
        <v>4</v>
      </c>
      <c r="Z15" s="3"/>
      <c r="AA15" s="26" t="s">
        <v>4</v>
      </c>
      <c r="AB15" s="3"/>
      <c r="AC15" s="28" t="s">
        <v>4</v>
      </c>
      <c r="AD15" s="3"/>
      <c r="AE15" s="32" t="s">
        <v>4</v>
      </c>
      <c r="AF15" s="3"/>
      <c r="AG15" s="34" t="s">
        <v>4</v>
      </c>
      <c r="AH15" s="3"/>
      <c r="AI15" s="36" t="s">
        <v>820</v>
      </c>
      <c r="AJ15" s="6" t="s">
        <v>932</v>
      </c>
      <c r="AK15" s="3" t="s">
        <v>59</v>
      </c>
      <c r="AL15" s="99" t="s">
        <v>933</v>
      </c>
    </row>
    <row r="16" spans="1:38" ht="13.5" customHeight="1">
      <c r="A16" s="4" t="s">
        <v>934</v>
      </c>
      <c r="B16" s="73" t="s">
        <v>812</v>
      </c>
      <c r="C16" s="223" t="s">
        <v>935</v>
      </c>
      <c r="D16" s="93"/>
      <c r="E16" s="237" t="s">
        <v>936</v>
      </c>
      <c r="F16" s="2" t="s">
        <v>937</v>
      </c>
      <c r="G16" s="8" t="s">
        <v>57</v>
      </c>
      <c r="H16" s="6" t="s">
        <v>938</v>
      </c>
      <c r="I16" s="9" t="s">
        <v>4</v>
      </c>
      <c r="J16" s="6"/>
      <c r="K16" s="11" t="s">
        <v>57</v>
      </c>
      <c r="L16" s="6" t="s">
        <v>939</v>
      </c>
      <c r="M16" s="24" t="s">
        <v>57</v>
      </c>
      <c r="N16" s="6" t="s">
        <v>940</v>
      </c>
      <c r="O16" s="13" t="s">
        <v>57</v>
      </c>
      <c r="P16" s="6" t="s">
        <v>941</v>
      </c>
      <c r="Q16" s="15" t="s">
        <v>57</v>
      </c>
      <c r="R16" s="6" t="s">
        <v>942</v>
      </c>
      <c r="S16" s="17" t="s">
        <v>4</v>
      </c>
      <c r="T16" s="6"/>
      <c r="U16" s="19" t="s">
        <v>57</v>
      </c>
      <c r="V16" s="6" t="s">
        <v>943</v>
      </c>
      <c r="W16" s="21" t="s">
        <v>4</v>
      </c>
      <c r="X16" s="6"/>
      <c r="Y16" s="29" t="s">
        <v>4</v>
      </c>
      <c r="Z16" s="6"/>
      <c r="AA16" s="25" t="s">
        <v>57</v>
      </c>
      <c r="AB16" s="6" t="s">
        <v>944</v>
      </c>
      <c r="AC16" s="27" t="s">
        <v>4</v>
      </c>
      <c r="AD16" s="6"/>
      <c r="AE16" s="31" t="s">
        <v>57</v>
      </c>
      <c r="AF16" s="6" t="s">
        <v>945</v>
      </c>
      <c r="AG16" s="33" t="s">
        <v>4</v>
      </c>
      <c r="AH16" s="6"/>
      <c r="AI16" s="35" t="s">
        <v>272</v>
      </c>
      <c r="AJ16" s="6" t="s">
        <v>946</v>
      </c>
      <c r="AK16" s="6" t="s">
        <v>838</v>
      </c>
      <c r="AL16" s="99" t="s">
        <v>947</v>
      </c>
    </row>
    <row r="17" spans="1:38" ht="13.5" customHeight="1">
      <c r="A17" s="1" t="s">
        <v>948</v>
      </c>
      <c r="B17" s="73" t="s">
        <v>812</v>
      </c>
      <c r="C17" s="226" t="s">
        <v>949</v>
      </c>
      <c r="D17" s="78"/>
      <c r="E17" s="237"/>
      <c r="F17" s="2" t="s">
        <v>950</v>
      </c>
      <c r="G17" s="7" t="s">
        <v>4</v>
      </c>
      <c r="H17" s="74"/>
      <c r="I17" s="58" t="s">
        <v>4</v>
      </c>
      <c r="J17" s="74"/>
      <c r="K17" s="59" t="s">
        <v>4</v>
      </c>
      <c r="L17" s="74"/>
      <c r="M17" s="60" t="s">
        <v>4</v>
      </c>
      <c r="N17" s="74"/>
      <c r="O17" s="61" t="s">
        <v>57</v>
      </c>
      <c r="P17" s="74" t="s">
        <v>951</v>
      </c>
      <c r="Q17" s="62" t="s">
        <v>4</v>
      </c>
      <c r="R17" s="74"/>
      <c r="S17" s="63" t="s">
        <v>4</v>
      </c>
      <c r="T17" s="74"/>
      <c r="U17" s="64" t="s">
        <v>4</v>
      </c>
      <c r="V17" s="74"/>
      <c r="W17" s="65" t="s">
        <v>4</v>
      </c>
      <c r="X17" s="74"/>
      <c r="Y17" s="66" t="s">
        <v>4</v>
      </c>
      <c r="Z17" s="74"/>
      <c r="AA17" s="67" t="s">
        <v>4</v>
      </c>
      <c r="AB17" s="74"/>
      <c r="AC17" s="68" t="s">
        <v>4</v>
      </c>
      <c r="AD17" s="74"/>
      <c r="AE17" s="69" t="s">
        <v>57</v>
      </c>
      <c r="AF17" s="152" t="s">
        <v>952</v>
      </c>
      <c r="AG17" s="70" t="s">
        <v>57</v>
      </c>
      <c r="AH17" s="153" t="s">
        <v>953</v>
      </c>
      <c r="AI17" s="71" t="s">
        <v>272</v>
      </c>
      <c r="AJ17" s="6" t="s">
        <v>954</v>
      </c>
      <c r="AK17" s="74" t="s">
        <v>59</v>
      </c>
      <c r="AL17" s="99" t="s">
        <v>955</v>
      </c>
    </row>
    <row r="18" spans="1:38" ht="13.5" customHeight="1">
      <c r="A18" s="1" t="s">
        <v>956</v>
      </c>
      <c r="B18" s="73" t="s">
        <v>812</v>
      </c>
      <c r="C18" s="222" t="s">
        <v>957</v>
      </c>
      <c r="D18" s="78"/>
      <c r="E18" s="237" t="s">
        <v>958</v>
      </c>
      <c r="F18" s="2" t="s">
        <v>959</v>
      </c>
      <c r="G18" s="7" t="s">
        <v>57</v>
      </c>
      <c r="H18" s="3" t="s">
        <v>960</v>
      </c>
      <c r="I18" s="10" t="s">
        <v>4</v>
      </c>
      <c r="J18" s="3"/>
      <c r="K18" s="12" t="s">
        <v>4</v>
      </c>
      <c r="L18" s="3"/>
      <c r="M18" s="23" t="s">
        <v>4</v>
      </c>
      <c r="N18" s="3"/>
      <c r="O18" s="14" t="s">
        <v>4</v>
      </c>
      <c r="P18" s="3"/>
      <c r="Q18" s="16" t="s">
        <v>4</v>
      </c>
      <c r="R18" s="3"/>
      <c r="S18" s="18" t="s">
        <v>4</v>
      </c>
      <c r="T18" s="3"/>
      <c r="U18" s="20" t="s">
        <v>4</v>
      </c>
      <c r="V18" s="3"/>
      <c r="W18" s="22" t="s">
        <v>4</v>
      </c>
      <c r="X18" s="3"/>
      <c r="Y18" s="30" t="s">
        <v>4</v>
      </c>
      <c r="Z18" s="3"/>
      <c r="AA18" s="26" t="s">
        <v>4</v>
      </c>
      <c r="AB18" s="3"/>
      <c r="AC18" s="28" t="s">
        <v>4</v>
      </c>
      <c r="AD18" s="3"/>
      <c r="AE18" s="32" t="s">
        <v>4</v>
      </c>
      <c r="AF18" s="3"/>
      <c r="AG18" s="34" t="s">
        <v>4</v>
      </c>
      <c r="AH18" s="3"/>
      <c r="AI18" s="36" t="s">
        <v>820</v>
      </c>
      <c r="AJ18" s="6" t="s">
        <v>961</v>
      </c>
      <c r="AK18" s="3" t="s">
        <v>59</v>
      </c>
      <c r="AL18" s="99" t="s">
        <v>962</v>
      </c>
    </row>
    <row r="19" spans="1:38" ht="13.5" customHeight="1">
      <c r="A19" s="1" t="s">
        <v>963</v>
      </c>
      <c r="B19" s="73" t="s">
        <v>812</v>
      </c>
      <c r="C19" s="224" t="s">
        <v>964</v>
      </c>
      <c r="D19" s="95"/>
      <c r="E19" s="237" t="s">
        <v>965</v>
      </c>
      <c r="F19" s="2" t="s">
        <v>966</v>
      </c>
      <c r="G19" s="7" t="s">
        <v>4</v>
      </c>
      <c r="H19" s="2"/>
      <c r="I19" s="9" t="s">
        <v>4</v>
      </c>
      <c r="J19" s="2"/>
      <c r="K19" s="11" t="s">
        <v>4</v>
      </c>
      <c r="L19" s="2"/>
      <c r="M19" s="24" t="s">
        <v>4</v>
      </c>
      <c r="N19" s="2"/>
      <c r="O19" s="13" t="s">
        <v>4</v>
      </c>
      <c r="P19" s="2"/>
      <c r="Q19" s="15" t="s">
        <v>4</v>
      </c>
      <c r="R19" s="2"/>
      <c r="S19" s="17" t="s">
        <v>4</v>
      </c>
      <c r="T19" s="2"/>
      <c r="U19" s="19" t="s">
        <v>4</v>
      </c>
      <c r="V19" s="2"/>
      <c r="W19" s="21" t="s">
        <v>4</v>
      </c>
      <c r="X19" s="2"/>
      <c r="Y19" s="29" t="s">
        <v>4</v>
      </c>
      <c r="Z19" s="2"/>
      <c r="AA19" s="25" t="s">
        <v>4</v>
      </c>
      <c r="AB19" s="2"/>
      <c r="AC19" s="27" t="s">
        <v>4</v>
      </c>
      <c r="AD19" s="2"/>
      <c r="AE19" s="31" t="s">
        <v>4</v>
      </c>
      <c r="AF19" s="2"/>
      <c r="AG19" s="33" t="s">
        <v>4</v>
      </c>
      <c r="AH19" s="2"/>
      <c r="AI19" s="35" t="s">
        <v>820</v>
      </c>
      <c r="AJ19" s="6" t="s">
        <v>967</v>
      </c>
      <c r="AK19" s="2" t="s">
        <v>59</v>
      </c>
      <c r="AL19" s="99" t="s">
        <v>968</v>
      </c>
    </row>
    <row r="20" spans="1:38" ht="13.5" customHeight="1">
      <c r="A20" s="4" t="s">
        <v>969</v>
      </c>
      <c r="B20" s="73" t="s">
        <v>812</v>
      </c>
      <c r="C20" s="225" t="s">
        <v>970</v>
      </c>
      <c r="D20" s="94"/>
      <c r="E20" s="237" t="s">
        <v>971</v>
      </c>
      <c r="F20" s="2" t="s">
        <v>972</v>
      </c>
      <c r="G20" s="8" t="s">
        <v>57</v>
      </c>
      <c r="H20" s="5" t="s">
        <v>973</v>
      </c>
      <c r="I20" s="10" t="s">
        <v>4</v>
      </c>
      <c r="J20" s="5"/>
      <c r="K20" s="12" t="s">
        <v>57</v>
      </c>
      <c r="L20" s="5" t="s">
        <v>974</v>
      </c>
      <c r="M20" s="23" t="s">
        <v>57</v>
      </c>
      <c r="N20" s="5" t="s">
        <v>975</v>
      </c>
      <c r="O20" s="14" t="s">
        <v>57</v>
      </c>
      <c r="P20" s="5" t="s">
        <v>976</v>
      </c>
      <c r="Q20" s="16" t="s">
        <v>57</v>
      </c>
      <c r="R20" s="5" t="s">
        <v>977</v>
      </c>
      <c r="S20" s="18" t="s">
        <v>57</v>
      </c>
      <c r="T20" s="5" t="s">
        <v>978</v>
      </c>
      <c r="U20" s="20" t="s">
        <v>4</v>
      </c>
      <c r="V20" s="5"/>
      <c r="W20" s="22" t="s">
        <v>4</v>
      </c>
      <c r="X20" s="5"/>
      <c r="Y20" s="30" t="s">
        <v>4</v>
      </c>
      <c r="Z20" s="5"/>
      <c r="AA20" s="26" t="s">
        <v>57</v>
      </c>
      <c r="AB20" s="5" t="s">
        <v>979</v>
      </c>
      <c r="AC20" s="28" t="s">
        <v>4</v>
      </c>
      <c r="AD20" s="5"/>
      <c r="AE20" s="32" t="s">
        <v>57</v>
      </c>
      <c r="AF20" s="5" t="s">
        <v>980</v>
      </c>
      <c r="AG20" s="34" t="s">
        <v>4</v>
      </c>
      <c r="AH20" s="5"/>
      <c r="AI20" s="36" t="s">
        <v>272</v>
      </c>
      <c r="AJ20" s="6" t="s">
        <v>981</v>
      </c>
      <c r="AK20" s="5" t="s">
        <v>982</v>
      </c>
      <c r="AL20" s="99" t="s">
        <v>983</v>
      </c>
    </row>
    <row r="21" spans="1:38" ht="13.5" customHeight="1">
      <c r="A21" s="1" t="s">
        <v>984</v>
      </c>
      <c r="B21" s="73" t="s">
        <v>812</v>
      </c>
      <c r="C21" s="224" t="s">
        <v>985</v>
      </c>
      <c r="D21" s="95"/>
      <c r="E21" s="237" t="s">
        <v>986</v>
      </c>
      <c r="F21" s="2" t="s">
        <v>987</v>
      </c>
      <c r="G21" s="7" t="s">
        <v>4</v>
      </c>
      <c r="H21" s="2"/>
      <c r="I21" s="9" t="s">
        <v>4</v>
      </c>
      <c r="J21" s="2"/>
      <c r="K21" s="11" t="s">
        <v>4</v>
      </c>
      <c r="L21" s="2"/>
      <c r="M21" s="24" t="s">
        <v>4</v>
      </c>
      <c r="N21" s="2"/>
      <c r="O21" s="13" t="s">
        <v>4</v>
      </c>
      <c r="P21" s="2"/>
      <c r="Q21" s="15" t="s">
        <v>57</v>
      </c>
      <c r="R21" s="2" t="s">
        <v>988</v>
      </c>
      <c r="S21" s="17" t="s">
        <v>57</v>
      </c>
      <c r="T21" s="2" t="s">
        <v>989</v>
      </c>
      <c r="U21" s="19" t="s">
        <v>4</v>
      </c>
      <c r="V21" s="2"/>
      <c r="W21" s="21" t="s">
        <v>4</v>
      </c>
      <c r="X21" s="2"/>
      <c r="Y21" s="29" t="s">
        <v>4</v>
      </c>
      <c r="Z21" s="2"/>
      <c r="AA21" s="25" t="s">
        <v>4</v>
      </c>
      <c r="AB21" s="2"/>
      <c r="AC21" s="27" t="s">
        <v>4</v>
      </c>
      <c r="AD21" s="2"/>
      <c r="AE21" s="31" t="s">
        <v>4</v>
      </c>
      <c r="AF21" s="2"/>
      <c r="AG21" s="33" t="s">
        <v>4</v>
      </c>
      <c r="AH21" s="2"/>
      <c r="AI21" s="35" t="s">
        <v>272</v>
      </c>
      <c r="AJ21" s="6" t="s">
        <v>990</v>
      </c>
      <c r="AK21" s="2" t="s">
        <v>59</v>
      </c>
      <c r="AL21" s="99" t="s">
        <v>991</v>
      </c>
    </row>
    <row r="22" spans="1:38" ht="25.5">
      <c r="A22" s="4" t="s">
        <v>992</v>
      </c>
      <c r="B22" s="73" t="s">
        <v>812</v>
      </c>
      <c r="C22" s="225" t="s">
        <v>993</v>
      </c>
      <c r="D22" s="94"/>
      <c r="E22" s="237" t="s">
        <v>994</v>
      </c>
      <c r="F22" s="2" t="s">
        <v>995</v>
      </c>
      <c r="G22" s="8" t="s">
        <v>4</v>
      </c>
      <c r="H22" s="5"/>
      <c r="I22" s="10" t="s">
        <v>4</v>
      </c>
      <c r="J22" s="5"/>
      <c r="K22" s="12" t="s">
        <v>4</v>
      </c>
      <c r="L22" s="5"/>
      <c r="M22" s="23" t="s">
        <v>4</v>
      </c>
      <c r="N22" s="5"/>
      <c r="O22" s="14" t="s">
        <v>4</v>
      </c>
      <c r="P22" s="5"/>
      <c r="Q22" s="16" t="s">
        <v>4</v>
      </c>
      <c r="R22" s="5"/>
      <c r="S22" s="18" t="s">
        <v>57</v>
      </c>
      <c r="T22" s="5" t="s">
        <v>996</v>
      </c>
      <c r="U22" s="20" t="s">
        <v>4</v>
      </c>
      <c r="V22" s="5"/>
      <c r="W22" s="22" t="s">
        <v>4</v>
      </c>
      <c r="X22" s="5"/>
      <c r="Y22" s="30" t="s">
        <v>4</v>
      </c>
      <c r="Z22" s="5"/>
      <c r="AA22" s="26" t="s">
        <v>4</v>
      </c>
      <c r="AB22" s="5"/>
      <c r="AC22" s="28" t="s">
        <v>4</v>
      </c>
      <c r="AD22" s="5"/>
      <c r="AE22" s="32" t="s">
        <v>57</v>
      </c>
      <c r="AF22" s="5" t="s">
        <v>997</v>
      </c>
      <c r="AG22" s="34" t="s">
        <v>4</v>
      </c>
      <c r="AH22" s="5"/>
      <c r="AI22" s="36" t="s">
        <v>272</v>
      </c>
      <c r="AJ22" s="6" t="s">
        <v>998</v>
      </c>
      <c r="AK22" s="5" t="s">
        <v>999</v>
      </c>
      <c r="AL22" s="99" t="s">
        <v>1000</v>
      </c>
    </row>
    <row r="23" spans="1:38" ht="25.5">
      <c r="A23" s="1" t="s">
        <v>1001</v>
      </c>
      <c r="B23" s="73" t="s">
        <v>812</v>
      </c>
      <c r="C23" s="224" t="s">
        <v>1002</v>
      </c>
      <c r="D23" s="95"/>
      <c r="E23" s="237" t="s">
        <v>1003</v>
      </c>
      <c r="F23" s="2" t="s">
        <v>1004</v>
      </c>
      <c r="G23" s="7" t="s">
        <v>57</v>
      </c>
      <c r="H23" s="2" t="s">
        <v>1005</v>
      </c>
      <c r="I23" s="9" t="s">
        <v>57</v>
      </c>
      <c r="J23" s="2" t="s">
        <v>1006</v>
      </c>
      <c r="K23" s="11" t="s">
        <v>4</v>
      </c>
      <c r="L23" s="2"/>
      <c r="M23" s="24" t="s">
        <v>57</v>
      </c>
      <c r="N23" s="2" t="s">
        <v>1007</v>
      </c>
      <c r="O23" s="13" t="s">
        <v>57</v>
      </c>
      <c r="P23" s="2" t="s">
        <v>1008</v>
      </c>
      <c r="Q23" s="15" t="s">
        <v>57</v>
      </c>
      <c r="R23" s="2" t="s">
        <v>1009</v>
      </c>
      <c r="S23" s="17" t="s">
        <v>57</v>
      </c>
      <c r="T23" s="2" t="s">
        <v>1010</v>
      </c>
      <c r="U23" s="19" t="s">
        <v>57</v>
      </c>
      <c r="V23" s="2" t="s">
        <v>1011</v>
      </c>
      <c r="W23" s="21" t="s">
        <v>57</v>
      </c>
      <c r="X23" s="2" t="s">
        <v>1012</v>
      </c>
      <c r="Y23" s="29" t="s">
        <v>57</v>
      </c>
      <c r="Z23" s="2" t="s">
        <v>1013</v>
      </c>
      <c r="AA23" s="25" t="s">
        <v>57</v>
      </c>
      <c r="AB23" s="2" t="s">
        <v>1014</v>
      </c>
      <c r="AC23" s="27" t="s">
        <v>4</v>
      </c>
      <c r="AD23" s="2"/>
      <c r="AE23" s="31" t="s">
        <v>57</v>
      </c>
      <c r="AF23" s="2" t="s">
        <v>1015</v>
      </c>
      <c r="AG23" s="33" t="s">
        <v>4</v>
      </c>
      <c r="AH23" s="2"/>
      <c r="AI23" s="35" t="s">
        <v>272</v>
      </c>
      <c r="AJ23" s="6" t="s">
        <v>1016</v>
      </c>
      <c r="AK23" s="2" t="s">
        <v>1017</v>
      </c>
      <c r="AL23" s="99" t="s">
        <v>1018</v>
      </c>
    </row>
    <row r="24" spans="1:38" ht="13.5" customHeight="1">
      <c r="A24" s="4" t="s">
        <v>1019</v>
      </c>
      <c r="B24" s="73" t="s">
        <v>812</v>
      </c>
      <c r="C24" s="225" t="s">
        <v>1020</v>
      </c>
      <c r="D24" s="94"/>
      <c r="E24" s="237" t="s">
        <v>1021</v>
      </c>
      <c r="F24" s="2" t="s">
        <v>1022</v>
      </c>
      <c r="G24" s="8" t="s">
        <v>4</v>
      </c>
      <c r="H24" s="5"/>
      <c r="I24" s="10" t="s">
        <v>4</v>
      </c>
      <c r="J24" s="5"/>
      <c r="K24" s="12" t="s">
        <v>4</v>
      </c>
      <c r="L24" s="5"/>
      <c r="M24" s="23" t="s">
        <v>4</v>
      </c>
      <c r="N24" s="5"/>
      <c r="O24" s="14" t="s">
        <v>4</v>
      </c>
      <c r="P24" s="5"/>
      <c r="Q24" s="16" t="s">
        <v>4</v>
      </c>
      <c r="R24" s="5"/>
      <c r="S24" s="18" t="s">
        <v>4</v>
      </c>
      <c r="T24" s="5"/>
      <c r="U24" s="20" t="s">
        <v>4</v>
      </c>
      <c r="V24" s="5"/>
      <c r="W24" s="22" t="s">
        <v>4</v>
      </c>
      <c r="X24" s="5"/>
      <c r="Y24" s="30" t="s">
        <v>4</v>
      </c>
      <c r="Z24" s="5"/>
      <c r="AA24" s="26" t="s">
        <v>4</v>
      </c>
      <c r="AB24" s="5"/>
      <c r="AC24" s="28" t="s">
        <v>4</v>
      </c>
      <c r="AD24" s="5"/>
      <c r="AE24" s="32" t="s">
        <v>4</v>
      </c>
      <c r="AF24" s="5"/>
      <c r="AG24" s="34" t="s">
        <v>4</v>
      </c>
      <c r="AH24" s="5"/>
      <c r="AI24" s="36" t="s">
        <v>272</v>
      </c>
      <c r="AJ24" s="6" t="s">
        <v>1023</v>
      </c>
      <c r="AK24" s="5" t="s">
        <v>838</v>
      </c>
      <c r="AL24" s="99" t="s">
        <v>1024</v>
      </c>
    </row>
    <row r="25" spans="1:38" ht="13.5" customHeight="1">
      <c r="A25" s="1" t="s">
        <v>1025</v>
      </c>
      <c r="B25" s="73" t="s">
        <v>812</v>
      </c>
      <c r="C25" s="227" t="s">
        <v>1026</v>
      </c>
      <c r="D25" s="96"/>
      <c r="E25" s="237" t="s">
        <v>1027</v>
      </c>
      <c r="F25" s="2" t="s">
        <v>1028</v>
      </c>
      <c r="G25" s="7" t="s">
        <v>4</v>
      </c>
      <c r="H25" s="2"/>
      <c r="I25" s="9" t="s">
        <v>4</v>
      </c>
      <c r="J25" s="2"/>
      <c r="K25" s="11" t="s">
        <v>4</v>
      </c>
      <c r="L25" s="2"/>
      <c r="M25" s="24" t="s">
        <v>4</v>
      </c>
      <c r="N25" s="2"/>
      <c r="O25" s="13" t="s">
        <v>4</v>
      </c>
      <c r="P25" s="2"/>
      <c r="Q25" s="15" t="s">
        <v>4</v>
      </c>
      <c r="R25" s="2"/>
      <c r="S25" s="17" t="s">
        <v>4</v>
      </c>
      <c r="T25" s="2"/>
      <c r="U25" s="19" t="s">
        <v>4</v>
      </c>
      <c r="V25" s="2"/>
      <c r="W25" s="21" t="s">
        <v>4</v>
      </c>
      <c r="X25" s="2"/>
      <c r="Y25" s="29" t="s">
        <v>4</v>
      </c>
      <c r="Z25" s="2"/>
      <c r="AA25" s="25" t="s">
        <v>4</v>
      </c>
      <c r="AB25" s="2"/>
      <c r="AC25" s="27" t="s">
        <v>4</v>
      </c>
      <c r="AD25" s="2"/>
      <c r="AE25" s="31" t="s">
        <v>57</v>
      </c>
      <c r="AF25" s="2" t="s">
        <v>1029</v>
      </c>
      <c r="AG25" s="33" t="s">
        <v>57</v>
      </c>
      <c r="AH25" s="2" t="s">
        <v>1030</v>
      </c>
      <c r="AI25" s="35" t="s">
        <v>272</v>
      </c>
      <c r="AJ25" s="6" t="s">
        <v>1031</v>
      </c>
      <c r="AK25" s="2" t="s">
        <v>1032</v>
      </c>
      <c r="AL25" s="99" t="s">
        <v>1033</v>
      </c>
    </row>
    <row r="26" spans="1:38" ht="13.5" customHeight="1">
      <c r="A26" s="1" t="s">
        <v>1034</v>
      </c>
      <c r="B26" s="73" t="s">
        <v>812</v>
      </c>
      <c r="C26" s="222" t="s">
        <v>1035</v>
      </c>
      <c r="D26" s="78"/>
      <c r="E26" s="237" t="s">
        <v>1036</v>
      </c>
      <c r="F26" s="2" t="s">
        <v>1037</v>
      </c>
      <c r="G26" s="7" t="s">
        <v>4</v>
      </c>
      <c r="H26" s="3"/>
      <c r="I26" s="10" t="s">
        <v>57</v>
      </c>
      <c r="J26" s="3" t="s">
        <v>1038</v>
      </c>
      <c r="K26" s="12" t="s">
        <v>4</v>
      </c>
      <c r="L26" s="3"/>
      <c r="M26" s="23" t="s">
        <v>4</v>
      </c>
      <c r="N26" s="3"/>
      <c r="O26" s="14" t="s">
        <v>4</v>
      </c>
      <c r="P26" s="3"/>
      <c r="Q26" s="16" t="s">
        <v>4</v>
      </c>
      <c r="R26" s="3"/>
      <c r="S26" s="18" t="s">
        <v>57</v>
      </c>
      <c r="T26" s="3" t="s">
        <v>1039</v>
      </c>
      <c r="U26" s="20" t="s">
        <v>57</v>
      </c>
      <c r="V26" s="3" t="s">
        <v>1040</v>
      </c>
      <c r="W26" s="22" t="s">
        <v>4</v>
      </c>
      <c r="X26" s="3"/>
      <c r="Y26" s="30" t="s">
        <v>57</v>
      </c>
      <c r="Z26" s="3"/>
      <c r="AA26" s="26" t="s">
        <v>4</v>
      </c>
      <c r="AB26" s="3"/>
      <c r="AC26" s="28" t="s">
        <v>4</v>
      </c>
      <c r="AD26" s="3"/>
      <c r="AE26" s="32" t="s">
        <v>57</v>
      </c>
      <c r="AF26" s="3" t="s">
        <v>1041</v>
      </c>
      <c r="AG26" s="34" t="s">
        <v>4</v>
      </c>
      <c r="AH26" s="3"/>
      <c r="AI26" s="36" t="s">
        <v>272</v>
      </c>
      <c r="AJ26" s="6" t="s">
        <v>1042</v>
      </c>
      <c r="AK26" s="3" t="s">
        <v>1043</v>
      </c>
      <c r="AL26" s="99" t="s">
        <v>1044</v>
      </c>
    </row>
    <row r="27" spans="1:38" ht="13.5" customHeight="1">
      <c r="A27" s="4" t="s">
        <v>1045</v>
      </c>
      <c r="B27" s="73" t="s">
        <v>812</v>
      </c>
      <c r="C27" s="228" t="s">
        <v>1046</v>
      </c>
      <c r="D27" s="97"/>
      <c r="E27" s="237" t="s">
        <v>1047</v>
      </c>
      <c r="F27" s="2" t="s">
        <v>1048</v>
      </c>
      <c r="G27" s="8" t="s">
        <v>57</v>
      </c>
      <c r="H27" s="5" t="s">
        <v>1049</v>
      </c>
      <c r="I27" s="10" t="s">
        <v>57</v>
      </c>
      <c r="J27" s="5" t="s">
        <v>1050</v>
      </c>
      <c r="K27" s="12" t="s">
        <v>57</v>
      </c>
      <c r="L27" s="5" t="s">
        <v>1051</v>
      </c>
      <c r="M27" s="23" t="s">
        <v>57</v>
      </c>
      <c r="N27" s="5" t="s">
        <v>1052</v>
      </c>
      <c r="O27" s="14" t="s">
        <v>57</v>
      </c>
      <c r="P27" s="5" t="s">
        <v>1053</v>
      </c>
      <c r="Q27" s="16" t="s">
        <v>4</v>
      </c>
      <c r="R27" s="5"/>
      <c r="S27" s="18" t="s">
        <v>4</v>
      </c>
      <c r="T27" s="5"/>
      <c r="U27" s="20" t="s">
        <v>4</v>
      </c>
      <c r="V27" s="5"/>
      <c r="W27" s="22" t="s">
        <v>4</v>
      </c>
      <c r="X27" s="5"/>
      <c r="Y27" s="30" t="s">
        <v>4</v>
      </c>
      <c r="Z27" s="5"/>
      <c r="AA27" s="26" t="s">
        <v>4</v>
      </c>
      <c r="AB27" s="5"/>
      <c r="AC27" s="28" t="s">
        <v>4</v>
      </c>
      <c r="AD27" s="5"/>
      <c r="AE27" s="32" t="s">
        <v>4</v>
      </c>
      <c r="AF27" s="5"/>
      <c r="AG27" s="34" t="s">
        <v>4</v>
      </c>
      <c r="AH27" s="5"/>
      <c r="AI27" s="36"/>
      <c r="AJ27" s="6"/>
      <c r="AK27" s="5" t="s">
        <v>59</v>
      </c>
      <c r="AL27" s="99" t="s">
        <v>1054</v>
      </c>
    </row>
    <row r="28" spans="1:38" ht="13.5" customHeight="1">
      <c r="A28" s="1" t="s">
        <v>1055</v>
      </c>
      <c r="B28" s="73" t="s">
        <v>812</v>
      </c>
      <c r="C28" s="224" t="s">
        <v>1056</v>
      </c>
      <c r="D28" s="95"/>
      <c r="E28" s="238" t="s">
        <v>1057</v>
      </c>
      <c r="F28" s="2" t="s">
        <v>1058</v>
      </c>
      <c r="G28" s="7" t="s">
        <v>57</v>
      </c>
      <c r="H28" s="2" t="s">
        <v>1059</v>
      </c>
      <c r="I28" s="9" t="s">
        <v>4</v>
      </c>
      <c r="J28" s="2"/>
      <c r="K28" s="11" t="s">
        <v>4</v>
      </c>
      <c r="L28" s="2"/>
      <c r="M28" s="24" t="s">
        <v>4</v>
      </c>
      <c r="N28" s="2"/>
      <c r="O28" s="13" t="s">
        <v>4</v>
      </c>
      <c r="P28" s="2"/>
      <c r="Q28" s="15" t="s">
        <v>4</v>
      </c>
      <c r="R28" s="2"/>
      <c r="S28" s="17" t="s">
        <v>4</v>
      </c>
      <c r="T28" s="2"/>
      <c r="U28" s="19" t="s">
        <v>4</v>
      </c>
      <c r="V28" s="2"/>
      <c r="W28" s="21" t="s">
        <v>4</v>
      </c>
      <c r="X28" s="2"/>
      <c r="Y28" s="29" t="s">
        <v>4</v>
      </c>
      <c r="Z28" s="2"/>
      <c r="AA28" s="25" t="s">
        <v>4</v>
      </c>
      <c r="AB28" s="2"/>
      <c r="AC28" s="27" t="s">
        <v>4</v>
      </c>
      <c r="AD28" s="2"/>
      <c r="AE28" s="31" t="s">
        <v>57</v>
      </c>
      <c r="AF28" s="2" t="s">
        <v>1060</v>
      </c>
      <c r="AG28" s="33" t="s">
        <v>4</v>
      </c>
      <c r="AH28" s="2"/>
      <c r="AI28" s="35" t="s">
        <v>272</v>
      </c>
      <c r="AJ28" s="6" t="s">
        <v>1061</v>
      </c>
      <c r="AK28" s="2" t="s">
        <v>838</v>
      </c>
      <c r="AL28" s="99" t="s">
        <v>1062</v>
      </c>
    </row>
    <row r="29" spans="1:38" ht="13.5" customHeight="1">
      <c r="A29" s="4" t="s">
        <v>1063</v>
      </c>
      <c r="B29" s="73" t="s">
        <v>812</v>
      </c>
      <c r="C29" s="225" t="s">
        <v>1064</v>
      </c>
      <c r="D29" s="94"/>
      <c r="E29" s="237" t="s">
        <v>1065</v>
      </c>
      <c r="F29" s="2" t="s">
        <v>1066</v>
      </c>
      <c r="G29" s="8" t="s">
        <v>4</v>
      </c>
      <c r="H29" s="5"/>
      <c r="I29" s="10" t="s">
        <v>4</v>
      </c>
      <c r="J29" s="5"/>
      <c r="K29" s="12" t="s">
        <v>4</v>
      </c>
      <c r="L29" s="5"/>
      <c r="M29" s="23" t="s">
        <v>4</v>
      </c>
      <c r="N29" s="5"/>
      <c r="O29" s="14" t="s">
        <v>4</v>
      </c>
      <c r="P29" s="5"/>
      <c r="Q29" s="16" t="s">
        <v>4</v>
      </c>
      <c r="R29" s="5"/>
      <c r="S29" s="18" t="s">
        <v>4</v>
      </c>
      <c r="T29" s="5"/>
      <c r="U29" s="20" t="s">
        <v>4</v>
      </c>
      <c r="V29" s="5"/>
      <c r="W29" s="22" t="s">
        <v>4</v>
      </c>
      <c r="X29" s="5"/>
      <c r="Y29" s="30" t="s">
        <v>4</v>
      </c>
      <c r="Z29" s="5"/>
      <c r="AA29" s="26" t="s">
        <v>57</v>
      </c>
      <c r="AB29" s="5" t="s">
        <v>1067</v>
      </c>
      <c r="AC29" s="28" t="s">
        <v>4</v>
      </c>
      <c r="AD29" s="5"/>
      <c r="AE29" s="32" t="s">
        <v>57</v>
      </c>
      <c r="AF29" s="5" t="s">
        <v>1068</v>
      </c>
      <c r="AG29" s="34" t="s">
        <v>4</v>
      </c>
      <c r="AH29" s="5"/>
      <c r="AI29" s="36" t="s">
        <v>272</v>
      </c>
      <c r="AJ29" s="6" t="s">
        <v>1069</v>
      </c>
      <c r="AK29" s="5" t="s">
        <v>1070</v>
      </c>
      <c r="AL29" s="99" t="s">
        <v>1071</v>
      </c>
    </row>
    <row r="30" spans="1:38" ht="13.5" customHeight="1">
      <c r="A30" s="1" t="s">
        <v>1072</v>
      </c>
      <c r="B30" s="73" t="s">
        <v>812</v>
      </c>
      <c r="C30" s="224" t="s">
        <v>1073</v>
      </c>
      <c r="D30" s="95"/>
      <c r="E30" s="238" t="s">
        <v>1074</v>
      </c>
      <c r="F30" s="2" t="s">
        <v>1075</v>
      </c>
      <c r="G30" s="7" t="s">
        <v>4</v>
      </c>
      <c r="H30" s="2"/>
      <c r="I30" s="9" t="s">
        <v>4</v>
      </c>
      <c r="J30" s="2"/>
      <c r="K30" s="11" t="s">
        <v>4</v>
      </c>
      <c r="L30" s="2"/>
      <c r="M30" s="24" t="s">
        <v>4</v>
      </c>
      <c r="N30" s="2"/>
      <c r="O30" s="13" t="s">
        <v>57</v>
      </c>
      <c r="P30" s="2" t="s">
        <v>1076</v>
      </c>
      <c r="Q30" s="15" t="s">
        <v>4</v>
      </c>
      <c r="R30" s="2"/>
      <c r="S30" s="17" t="s">
        <v>4</v>
      </c>
      <c r="T30" s="2"/>
      <c r="U30" s="19" t="s">
        <v>4</v>
      </c>
      <c r="V30" s="2"/>
      <c r="W30" s="21" t="s">
        <v>4</v>
      </c>
      <c r="X30" s="2"/>
      <c r="Y30" s="29" t="s">
        <v>4</v>
      </c>
      <c r="Z30" s="2"/>
      <c r="AA30" s="25" t="s">
        <v>4</v>
      </c>
      <c r="AB30" s="2"/>
      <c r="AC30" s="27" t="s">
        <v>4</v>
      </c>
      <c r="AD30" s="2"/>
      <c r="AE30" s="31" t="s">
        <v>4</v>
      </c>
      <c r="AF30" s="2"/>
      <c r="AG30" s="33" t="s">
        <v>4</v>
      </c>
      <c r="AH30" s="2"/>
      <c r="AI30" s="35" t="s">
        <v>820</v>
      </c>
      <c r="AJ30" s="6" t="s">
        <v>1077</v>
      </c>
      <c r="AK30" s="2" t="s">
        <v>59</v>
      </c>
      <c r="AL30" s="99" t="s">
        <v>1078</v>
      </c>
    </row>
    <row r="31" spans="1:38" ht="13.5" customHeight="1">
      <c r="A31" s="4" t="s">
        <v>1079</v>
      </c>
      <c r="B31" s="73" t="s">
        <v>812</v>
      </c>
      <c r="C31" s="225" t="s">
        <v>1080</v>
      </c>
      <c r="D31" s="94"/>
      <c r="E31" s="237" t="s">
        <v>1081</v>
      </c>
      <c r="F31" s="2" t="s">
        <v>1082</v>
      </c>
      <c r="G31" s="8" t="s">
        <v>4</v>
      </c>
      <c r="H31" s="5"/>
      <c r="I31" s="10" t="s">
        <v>4</v>
      </c>
      <c r="J31" s="5"/>
      <c r="K31" s="12" t="s">
        <v>4</v>
      </c>
      <c r="L31" s="5"/>
      <c r="M31" s="23" t="s">
        <v>4</v>
      </c>
      <c r="N31" s="5"/>
      <c r="O31" s="14" t="s">
        <v>4</v>
      </c>
      <c r="P31" s="5"/>
      <c r="Q31" s="16" t="s">
        <v>4</v>
      </c>
      <c r="R31" s="5"/>
      <c r="S31" s="18" t="s">
        <v>4</v>
      </c>
      <c r="T31" s="5"/>
      <c r="U31" s="20" t="s">
        <v>4</v>
      </c>
      <c r="V31" s="5"/>
      <c r="W31" s="22" t="s">
        <v>4</v>
      </c>
      <c r="X31" s="5"/>
      <c r="Y31" s="30" t="s">
        <v>4</v>
      </c>
      <c r="Z31" s="5"/>
      <c r="AA31" s="26" t="s">
        <v>4</v>
      </c>
      <c r="AB31" s="5"/>
      <c r="AC31" s="28" t="s">
        <v>4</v>
      </c>
      <c r="AD31" s="5"/>
      <c r="AE31" s="32" t="s">
        <v>4</v>
      </c>
      <c r="AF31" s="5"/>
      <c r="AG31" s="34" t="s">
        <v>4</v>
      </c>
      <c r="AH31" s="5"/>
      <c r="AI31" s="36" t="s">
        <v>272</v>
      </c>
      <c r="AJ31" s="6" t="s">
        <v>1083</v>
      </c>
      <c r="AK31" s="5" t="s">
        <v>59</v>
      </c>
      <c r="AL31" s="99" t="s">
        <v>1084</v>
      </c>
    </row>
    <row r="32" spans="1:38" ht="13.5" customHeight="1">
      <c r="A32" s="4" t="s">
        <v>1085</v>
      </c>
      <c r="B32" s="73" t="s">
        <v>812</v>
      </c>
      <c r="C32" s="225" t="s">
        <v>1086</v>
      </c>
      <c r="D32" s="94"/>
      <c r="E32" s="239" t="s">
        <v>1087</v>
      </c>
      <c r="F32" s="74" t="s">
        <v>1088</v>
      </c>
      <c r="G32" s="8" t="s">
        <v>4</v>
      </c>
      <c r="H32" s="72"/>
      <c r="I32" s="58" t="s">
        <v>4</v>
      </c>
      <c r="J32" s="72"/>
      <c r="K32" s="59" t="s">
        <v>4</v>
      </c>
      <c r="L32" s="72"/>
      <c r="M32" s="60" t="s">
        <v>4</v>
      </c>
      <c r="N32" s="72"/>
      <c r="O32" s="61" t="s">
        <v>4</v>
      </c>
      <c r="P32" s="72"/>
      <c r="Q32" s="62" t="s">
        <v>4</v>
      </c>
      <c r="R32" s="72"/>
      <c r="S32" s="63" t="s">
        <v>4</v>
      </c>
      <c r="T32" s="72"/>
      <c r="U32" s="64" t="s">
        <v>4</v>
      </c>
      <c r="V32" s="72"/>
      <c r="W32" s="65" t="s">
        <v>4</v>
      </c>
      <c r="X32" s="72"/>
      <c r="Y32" s="66" t="s">
        <v>4</v>
      </c>
      <c r="Z32" s="72"/>
      <c r="AA32" s="67" t="s">
        <v>4</v>
      </c>
      <c r="AB32" s="72"/>
      <c r="AC32" s="68" t="s">
        <v>4</v>
      </c>
      <c r="AD32" s="72"/>
      <c r="AE32" s="69" t="s">
        <v>4</v>
      </c>
      <c r="AF32" s="72"/>
      <c r="AG32" s="70" t="s">
        <v>57</v>
      </c>
      <c r="AH32" s="72" t="s">
        <v>1089</v>
      </c>
      <c r="AI32" s="71" t="s">
        <v>820</v>
      </c>
      <c r="AJ32" s="6" t="s">
        <v>932</v>
      </c>
      <c r="AK32" s="72" t="s">
        <v>59</v>
      </c>
      <c r="AL32" s="99" t="s">
        <v>1090</v>
      </c>
    </row>
    <row r="33" spans="1:40" ht="13.5" customHeight="1">
      <c r="A33" s="4" t="s">
        <v>1091</v>
      </c>
      <c r="B33" s="73" t="s">
        <v>812</v>
      </c>
      <c r="C33" s="223" t="s">
        <v>1092</v>
      </c>
      <c r="D33" s="93"/>
      <c r="E33" s="238" t="s">
        <v>1093</v>
      </c>
      <c r="F33" s="2" t="s">
        <v>1094</v>
      </c>
      <c r="G33" s="8" t="s">
        <v>57</v>
      </c>
      <c r="H33" s="6" t="s">
        <v>1095</v>
      </c>
      <c r="I33" s="9" t="s">
        <v>4</v>
      </c>
      <c r="J33" s="6"/>
      <c r="K33" s="11" t="s">
        <v>57</v>
      </c>
      <c r="L33" s="6" t="s">
        <v>1096</v>
      </c>
      <c r="M33" s="24" t="s">
        <v>57</v>
      </c>
      <c r="N33" s="6" t="s">
        <v>1097</v>
      </c>
      <c r="O33" s="13" t="s">
        <v>57</v>
      </c>
      <c r="P33" s="6" t="s">
        <v>1098</v>
      </c>
      <c r="Q33" s="15" t="s">
        <v>4</v>
      </c>
      <c r="R33" s="6"/>
      <c r="S33" s="17" t="s">
        <v>57</v>
      </c>
      <c r="T33" s="6" t="s">
        <v>1099</v>
      </c>
      <c r="U33" s="19" t="s">
        <v>57</v>
      </c>
      <c r="V33" s="6" t="s">
        <v>1100</v>
      </c>
      <c r="W33" s="21" t="s">
        <v>4</v>
      </c>
      <c r="X33" s="6"/>
      <c r="Y33" s="29" t="s">
        <v>57</v>
      </c>
      <c r="Z33" s="6" t="s">
        <v>1101</v>
      </c>
      <c r="AA33" s="25" t="s">
        <v>57</v>
      </c>
      <c r="AB33" s="6" t="s">
        <v>1102</v>
      </c>
      <c r="AC33" s="27" t="s">
        <v>4</v>
      </c>
      <c r="AD33" s="6"/>
      <c r="AE33" s="31" t="s">
        <v>57</v>
      </c>
      <c r="AF33" s="6" t="s">
        <v>1103</v>
      </c>
      <c r="AG33" s="33" t="s">
        <v>57</v>
      </c>
      <c r="AH33" s="6" t="s">
        <v>1104</v>
      </c>
      <c r="AI33" s="35" t="s">
        <v>272</v>
      </c>
      <c r="AJ33" s="6" t="s">
        <v>1105</v>
      </c>
      <c r="AK33" s="6" t="s">
        <v>1106</v>
      </c>
      <c r="AL33" s="99" t="s">
        <v>1107</v>
      </c>
    </row>
    <row r="34" spans="1:40" ht="13.5" customHeight="1">
      <c r="A34" s="37" t="s">
        <v>1108</v>
      </c>
      <c r="B34" s="73" t="s">
        <v>812</v>
      </c>
      <c r="C34" s="229" t="s">
        <v>1109</v>
      </c>
      <c r="D34" s="98"/>
      <c r="E34" s="240" t="s">
        <v>1110</v>
      </c>
      <c r="F34" s="150" t="s">
        <v>1111</v>
      </c>
      <c r="G34" s="38" t="s">
        <v>4</v>
      </c>
      <c r="H34" s="39"/>
      <c r="I34" s="40" t="s">
        <v>4</v>
      </c>
      <c r="J34" s="39"/>
      <c r="K34" s="41" t="s">
        <v>4</v>
      </c>
      <c r="L34" s="39"/>
      <c r="M34" s="42" t="s">
        <v>4</v>
      </c>
      <c r="N34" s="39"/>
      <c r="O34" s="43" t="s">
        <v>4</v>
      </c>
      <c r="P34" s="39"/>
      <c r="Q34" s="44" t="s">
        <v>4</v>
      </c>
      <c r="R34" s="39"/>
      <c r="S34" s="45" t="s">
        <v>4</v>
      </c>
      <c r="T34" s="39"/>
      <c r="U34" s="46" t="s">
        <v>4</v>
      </c>
      <c r="V34" s="39"/>
      <c r="W34" s="47" t="s">
        <v>4</v>
      </c>
      <c r="X34" s="39"/>
      <c r="Y34" s="48" t="s">
        <v>4</v>
      </c>
      <c r="Z34" s="39"/>
      <c r="AA34" s="49" t="s">
        <v>4</v>
      </c>
      <c r="AB34" s="39"/>
      <c r="AC34" s="53" t="s">
        <v>4</v>
      </c>
      <c r="AD34" s="39"/>
      <c r="AE34" s="50" t="s">
        <v>4</v>
      </c>
      <c r="AF34" s="39"/>
      <c r="AG34" s="51" t="s">
        <v>4</v>
      </c>
      <c r="AH34" s="39"/>
      <c r="AI34" s="52"/>
      <c r="AJ34" s="75" t="s">
        <v>1112</v>
      </c>
      <c r="AK34" s="39" t="s">
        <v>838</v>
      </c>
      <c r="AL34" s="99" t="s">
        <v>1113</v>
      </c>
    </row>
    <row r="35" spans="1:40" ht="15">
      <c r="A35" s="77" t="s">
        <v>1114</v>
      </c>
      <c r="B35" s="73" t="s">
        <v>812</v>
      </c>
      <c r="C35" s="230" t="s">
        <v>1115</v>
      </c>
      <c r="D35" s="78"/>
      <c r="E35" s="241" t="s">
        <v>1116</v>
      </c>
      <c r="F35" s="100" t="s">
        <v>1117</v>
      </c>
      <c r="G35" s="79" t="s">
        <v>57</v>
      </c>
      <c r="H35" s="77" t="s">
        <v>1118</v>
      </c>
      <c r="I35" s="80" t="s">
        <v>4</v>
      </c>
      <c r="J35" s="77"/>
      <c r="K35" s="81" t="s">
        <v>4</v>
      </c>
      <c r="L35" s="77"/>
      <c r="M35" s="82" t="s">
        <v>4</v>
      </c>
      <c r="N35" s="77"/>
      <c r="O35" s="83" t="s">
        <v>4</v>
      </c>
      <c r="P35" s="77"/>
      <c r="Q35" s="84" t="s">
        <v>4</v>
      </c>
      <c r="R35" s="77"/>
      <c r="S35" s="85" t="s">
        <v>4</v>
      </c>
      <c r="T35" s="77"/>
      <c r="U35" s="86" t="s">
        <v>4</v>
      </c>
      <c r="V35" s="77"/>
      <c r="W35" s="87" t="s">
        <v>4</v>
      </c>
      <c r="X35" s="77"/>
      <c r="Y35" s="88" t="s">
        <v>4</v>
      </c>
      <c r="Z35" s="77"/>
      <c r="AA35" s="89" t="s">
        <v>57</v>
      </c>
      <c r="AB35" s="77" t="s">
        <v>1119</v>
      </c>
      <c r="AC35" s="90" t="s">
        <v>4</v>
      </c>
      <c r="AD35" s="77"/>
      <c r="AE35" s="91" t="s">
        <v>4</v>
      </c>
      <c r="AF35" s="77"/>
      <c r="AG35" s="92" t="s">
        <v>4</v>
      </c>
      <c r="AH35" s="77"/>
      <c r="AI35" s="76" t="s">
        <v>272</v>
      </c>
      <c r="AJ35" s="77" t="s">
        <v>1120</v>
      </c>
      <c r="AK35" s="77" t="s">
        <v>1121</v>
      </c>
      <c r="AL35" s="100" t="s">
        <v>1122</v>
      </c>
    </row>
    <row r="36" spans="1:40" ht="25.5">
      <c r="A36" s="1" t="s">
        <v>244</v>
      </c>
      <c r="B36" s="401" t="s">
        <v>1123</v>
      </c>
      <c r="C36" s="231" t="s">
        <v>245</v>
      </c>
      <c r="D36" s="146" t="s">
        <v>1124</v>
      </c>
      <c r="E36" s="101" t="s">
        <v>1125</v>
      </c>
      <c r="G36" s="7" t="s">
        <v>4</v>
      </c>
      <c r="I36" s="10" t="s">
        <v>57</v>
      </c>
      <c r="J36" s="142" t="s">
        <v>1126</v>
      </c>
      <c r="K36" s="12" t="s">
        <v>57</v>
      </c>
      <c r="L36" s="142" t="s">
        <v>1127</v>
      </c>
      <c r="M36" s="23" t="s">
        <v>4</v>
      </c>
      <c r="N36" s="142"/>
      <c r="O36" s="14" t="s">
        <v>4</v>
      </c>
      <c r="P36" s="142"/>
      <c r="Q36" s="16" t="s">
        <v>4</v>
      </c>
      <c r="R36" s="142"/>
      <c r="S36" s="18" t="s">
        <v>4</v>
      </c>
      <c r="T36" s="142"/>
      <c r="U36" s="20" t="s">
        <v>57</v>
      </c>
      <c r="V36" s="142" t="s">
        <v>1128</v>
      </c>
      <c r="W36" s="22" t="s">
        <v>4</v>
      </c>
      <c r="X36" s="142"/>
      <c r="Y36" s="30" t="s">
        <v>4</v>
      </c>
      <c r="Z36" s="142"/>
      <c r="AA36" s="26" t="s">
        <v>4</v>
      </c>
      <c r="AB36" s="142"/>
      <c r="AC36" s="28" t="s">
        <v>4</v>
      </c>
      <c r="AD36" s="142"/>
      <c r="AE36" s="32" t="s">
        <v>4</v>
      </c>
      <c r="AF36" s="142"/>
      <c r="AG36" s="34" t="s">
        <v>4</v>
      </c>
      <c r="AH36" s="142"/>
      <c r="AI36" s="36" t="s">
        <v>1129</v>
      </c>
      <c r="AJ36" s="140" t="s">
        <v>1130</v>
      </c>
      <c r="AK36" s="142" t="s">
        <v>59</v>
      </c>
      <c r="AL36" s="148"/>
      <c r="AM36" s="141" t="s">
        <v>1131</v>
      </c>
    </row>
    <row r="37" spans="1:40" ht="25.5">
      <c r="A37" s="4" t="s">
        <v>1132</v>
      </c>
      <c r="B37" s="401" t="s">
        <v>1123</v>
      </c>
      <c r="C37" s="232" t="s">
        <v>1133</v>
      </c>
      <c r="D37" s="147"/>
      <c r="E37" s="101" t="s">
        <v>1134</v>
      </c>
      <c r="G37" s="8" t="s">
        <v>4</v>
      </c>
      <c r="I37" s="9" t="s">
        <v>4</v>
      </c>
      <c r="J37" s="140"/>
      <c r="K37" s="11" t="s">
        <v>4</v>
      </c>
      <c r="L37" s="140"/>
      <c r="M37" s="24" t="s">
        <v>57</v>
      </c>
      <c r="N37" s="140" t="s">
        <v>1135</v>
      </c>
      <c r="O37" s="13" t="s">
        <v>57</v>
      </c>
      <c r="P37" s="140" t="s">
        <v>1136</v>
      </c>
      <c r="Q37" s="15" t="s">
        <v>57</v>
      </c>
      <c r="R37" s="140" t="s">
        <v>1137</v>
      </c>
      <c r="S37" s="17" t="s">
        <v>4</v>
      </c>
      <c r="T37" s="140"/>
      <c r="U37" s="19" t="s">
        <v>57</v>
      </c>
      <c r="V37" s="140" t="s">
        <v>1138</v>
      </c>
      <c r="W37" s="21" t="s">
        <v>4</v>
      </c>
      <c r="X37" s="140"/>
      <c r="Y37" s="29" t="s">
        <v>57</v>
      </c>
      <c r="Z37" s="140" t="s">
        <v>1139</v>
      </c>
      <c r="AA37" s="25" t="s">
        <v>57</v>
      </c>
      <c r="AB37" s="140" t="s">
        <v>1140</v>
      </c>
      <c r="AC37" s="27" t="s">
        <v>4</v>
      </c>
      <c r="AD37" s="140"/>
      <c r="AE37" s="31" t="s">
        <v>4</v>
      </c>
      <c r="AF37" s="140"/>
      <c r="AG37" s="33" t="s">
        <v>4</v>
      </c>
      <c r="AH37" s="140"/>
      <c r="AI37" s="35" t="s">
        <v>1129</v>
      </c>
      <c r="AJ37" s="140" t="s">
        <v>1141</v>
      </c>
      <c r="AK37" s="140" t="s">
        <v>1142</v>
      </c>
      <c r="AL37" s="148"/>
      <c r="AM37" s="141" t="s">
        <v>1143</v>
      </c>
      <c r="AN37" s="139"/>
    </row>
    <row r="38" spans="1:40" ht="25.5">
      <c r="A38" s="4" t="s">
        <v>1144</v>
      </c>
      <c r="B38" s="401" t="s">
        <v>1123</v>
      </c>
      <c r="C38" s="233" t="s">
        <v>1145</v>
      </c>
      <c r="D38" s="144" t="s">
        <v>53</v>
      </c>
      <c r="E38" s="101" t="s">
        <v>1146</v>
      </c>
      <c r="G38" s="8" t="s">
        <v>57</v>
      </c>
      <c r="H38" s="141" t="s">
        <v>1147</v>
      </c>
      <c r="I38" s="10" t="s">
        <v>4</v>
      </c>
      <c r="J38" s="141"/>
      <c r="K38" s="12" t="s">
        <v>4</v>
      </c>
      <c r="L38" s="141"/>
      <c r="M38" s="23" t="s">
        <v>57</v>
      </c>
      <c r="N38" s="141" t="s">
        <v>1148</v>
      </c>
      <c r="O38" s="14" t="s">
        <v>4</v>
      </c>
      <c r="P38" s="141"/>
      <c r="Q38" s="16" t="s">
        <v>4</v>
      </c>
      <c r="R38" s="141"/>
      <c r="S38" s="18" t="s">
        <v>4</v>
      </c>
      <c r="T38" s="141"/>
      <c r="U38" s="20" t="s">
        <v>4</v>
      </c>
      <c r="V38" s="141"/>
      <c r="W38" s="22" t="s">
        <v>4</v>
      </c>
      <c r="X38" s="141"/>
      <c r="Y38" s="30" t="s">
        <v>4</v>
      </c>
      <c r="Z38" s="141"/>
      <c r="AA38" s="26" t="s">
        <v>4</v>
      </c>
      <c r="AB38" s="141"/>
      <c r="AC38" s="28" t="s">
        <v>4</v>
      </c>
      <c r="AD38" s="141"/>
      <c r="AE38" s="32" t="s">
        <v>4</v>
      </c>
      <c r="AF38" s="141"/>
      <c r="AG38" s="34" t="s">
        <v>4</v>
      </c>
      <c r="AH38" s="141"/>
      <c r="AI38" s="36" t="s">
        <v>820</v>
      </c>
      <c r="AJ38" s="140" t="s">
        <v>1149</v>
      </c>
      <c r="AK38" s="141" t="s">
        <v>1150</v>
      </c>
      <c r="AL38" s="148" t="s">
        <v>1151</v>
      </c>
      <c r="AM38" s="141" t="s">
        <v>1152</v>
      </c>
      <c r="AN38" s="139"/>
    </row>
    <row r="39" spans="1:40" ht="15">
      <c r="A39" s="1" t="s">
        <v>1153</v>
      </c>
      <c r="B39" s="401" t="s">
        <v>1123</v>
      </c>
      <c r="C39" s="231" t="s">
        <v>1154</v>
      </c>
      <c r="D39" s="146" t="s">
        <v>53</v>
      </c>
      <c r="E39" s="101" t="s">
        <v>1155</v>
      </c>
      <c r="G39" s="7" t="s">
        <v>4</v>
      </c>
      <c r="I39" s="10" t="s">
        <v>4</v>
      </c>
      <c r="J39" s="142"/>
      <c r="K39" s="12" t="s">
        <v>4</v>
      </c>
      <c r="L39" s="142"/>
      <c r="M39" s="23" t="s">
        <v>57</v>
      </c>
      <c r="N39" s="142" t="s">
        <v>1156</v>
      </c>
      <c r="O39" s="14" t="s">
        <v>57</v>
      </c>
      <c r="P39" s="142" t="s">
        <v>1157</v>
      </c>
      <c r="Q39" s="16" t="s">
        <v>57</v>
      </c>
      <c r="R39" s="142" t="s">
        <v>1158</v>
      </c>
      <c r="S39" s="18" t="s">
        <v>4</v>
      </c>
      <c r="T39" s="142"/>
      <c r="U39" s="20" t="s">
        <v>57</v>
      </c>
      <c r="V39" s="142" t="s">
        <v>1159</v>
      </c>
      <c r="W39" s="22" t="s">
        <v>4</v>
      </c>
      <c r="X39" s="142"/>
      <c r="Y39" s="30" t="s">
        <v>57</v>
      </c>
      <c r="Z39" s="142" t="s">
        <v>1160</v>
      </c>
      <c r="AA39" s="26" t="s">
        <v>57</v>
      </c>
      <c r="AB39" s="142" t="s">
        <v>1161</v>
      </c>
      <c r="AC39" s="28" t="s">
        <v>4</v>
      </c>
      <c r="AD39" s="142"/>
      <c r="AE39" s="32" t="s">
        <v>4</v>
      </c>
      <c r="AF39" s="142"/>
      <c r="AG39" s="34" t="s">
        <v>4</v>
      </c>
      <c r="AH39" s="142"/>
      <c r="AI39" s="36" t="s">
        <v>272</v>
      </c>
      <c r="AJ39" s="140" t="s">
        <v>1162</v>
      </c>
      <c r="AK39" s="142" t="s">
        <v>1163</v>
      </c>
      <c r="AL39" s="148" t="s">
        <v>1164</v>
      </c>
      <c r="AM39" s="141" t="s">
        <v>1165</v>
      </c>
      <c r="AN39" s="139"/>
    </row>
    <row r="40" spans="1:40" ht="15">
      <c r="A40" s="1" t="s">
        <v>1153</v>
      </c>
      <c r="B40" s="401" t="s">
        <v>1123</v>
      </c>
      <c r="C40" s="231" t="s">
        <v>1154</v>
      </c>
      <c r="D40" s="146" t="s">
        <v>53</v>
      </c>
      <c r="E40" s="101" t="s">
        <v>1166</v>
      </c>
      <c r="G40" s="7" t="s">
        <v>4</v>
      </c>
      <c r="I40" s="10" t="s">
        <v>4</v>
      </c>
      <c r="J40" s="142"/>
      <c r="K40" s="12" t="s">
        <v>4</v>
      </c>
      <c r="L40" s="142"/>
      <c r="M40" s="23" t="s">
        <v>57</v>
      </c>
      <c r="N40" s="142" t="s">
        <v>1156</v>
      </c>
      <c r="O40" s="14" t="s">
        <v>57</v>
      </c>
      <c r="P40" s="142" t="s">
        <v>1157</v>
      </c>
      <c r="Q40" s="16" t="s">
        <v>57</v>
      </c>
      <c r="R40" s="142" t="s">
        <v>1158</v>
      </c>
      <c r="S40" s="18" t="s">
        <v>4</v>
      </c>
      <c r="T40" s="142"/>
      <c r="U40" s="20" t="s">
        <v>57</v>
      </c>
      <c r="V40" s="142" t="s">
        <v>1159</v>
      </c>
      <c r="W40" s="22" t="s">
        <v>4</v>
      </c>
      <c r="X40" s="142"/>
      <c r="Y40" s="30" t="s">
        <v>57</v>
      </c>
      <c r="Z40" s="142" t="s">
        <v>1160</v>
      </c>
      <c r="AA40" s="26" t="s">
        <v>57</v>
      </c>
      <c r="AB40" s="142" t="s">
        <v>1161</v>
      </c>
      <c r="AC40" s="28" t="s">
        <v>4</v>
      </c>
      <c r="AD40" s="142"/>
      <c r="AE40" s="32" t="s">
        <v>4</v>
      </c>
      <c r="AF40" s="142"/>
      <c r="AG40" s="34" t="s">
        <v>4</v>
      </c>
      <c r="AH40" s="142"/>
      <c r="AI40" s="36" t="s">
        <v>272</v>
      </c>
      <c r="AJ40" s="140" t="s">
        <v>1162</v>
      </c>
      <c r="AK40" s="142" t="s">
        <v>1163</v>
      </c>
      <c r="AL40" s="148" t="s">
        <v>1164</v>
      </c>
      <c r="AM40" s="141" t="s">
        <v>1165</v>
      </c>
      <c r="AN40" s="139"/>
    </row>
    <row r="41" spans="1:40" ht="25.5">
      <c r="A41" s="4" t="s">
        <v>1167</v>
      </c>
      <c r="B41" s="401" t="s">
        <v>1123</v>
      </c>
      <c r="C41" s="232" t="s">
        <v>1168</v>
      </c>
      <c r="D41" s="147" t="s">
        <v>53</v>
      </c>
      <c r="E41" s="101" t="s">
        <v>1169</v>
      </c>
      <c r="G41" s="8" t="s">
        <v>4</v>
      </c>
      <c r="I41" s="9" t="s">
        <v>4</v>
      </c>
      <c r="J41" s="140"/>
      <c r="K41" s="11" t="s">
        <v>57</v>
      </c>
      <c r="L41" s="140" t="s">
        <v>1170</v>
      </c>
      <c r="M41" s="24" t="s">
        <v>57</v>
      </c>
      <c r="N41" s="140" t="s">
        <v>1171</v>
      </c>
      <c r="O41" s="13" t="s">
        <v>4</v>
      </c>
      <c r="P41" s="140"/>
      <c r="Q41" s="15" t="s">
        <v>4</v>
      </c>
      <c r="R41" s="140"/>
      <c r="S41" s="17" t="s">
        <v>4</v>
      </c>
      <c r="T41" s="140"/>
      <c r="U41" s="19" t="s">
        <v>57</v>
      </c>
      <c r="V41" s="140" t="s">
        <v>1172</v>
      </c>
      <c r="W41" s="21" t="s">
        <v>4</v>
      </c>
      <c r="X41" s="140"/>
      <c r="Y41" s="29" t="s">
        <v>4</v>
      </c>
      <c r="Z41" s="140"/>
      <c r="AA41" s="25" t="s">
        <v>57</v>
      </c>
      <c r="AB41" s="140" t="s">
        <v>1173</v>
      </c>
      <c r="AC41" s="27" t="s">
        <v>4</v>
      </c>
      <c r="AD41" s="140"/>
      <c r="AE41" s="31" t="s">
        <v>4</v>
      </c>
      <c r="AF41" s="140"/>
      <c r="AG41" s="33" t="s">
        <v>4</v>
      </c>
      <c r="AH41" s="140"/>
      <c r="AI41" s="35" t="s">
        <v>1129</v>
      </c>
      <c r="AJ41" s="140" t="s">
        <v>1174</v>
      </c>
      <c r="AK41" s="140" t="s">
        <v>1175</v>
      </c>
      <c r="AL41" s="148"/>
      <c r="AM41" s="141" t="s">
        <v>1176</v>
      </c>
    </row>
    <row r="42" spans="1:40" ht="15">
      <c r="A42" s="4" t="s">
        <v>1177</v>
      </c>
      <c r="B42" s="401" t="s">
        <v>1123</v>
      </c>
      <c r="C42" s="232" t="s">
        <v>1178</v>
      </c>
      <c r="D42" s="147"/>
      <c r="E42" s="101" t="s">
        <v>1179</v>
      </c>
      <c r="G42" s="8" t="s">
        <v>4</v>
      </c>
      <c r="I42" s="9" t="s">
        <v>4</v>
      </c>
      <c r="J42" s="140"/>
      <c r="K42" s="11" t="s">
        <v>57</v>
      </c>
      <c r="L42" s="140" t="s">
        <v>1180</v>
      </c>
      <c r="M42" s="24" t="s">
        <v>57</v>
      </c>
      <c r="N42" s="140" t="s">
        <v>1181</v>
      </c>
      <c r="O42" s="13" t="s">
        <v>57</v>
      </c>
      <c r="P42" s="140" t="s">
        <v>1182</v>
      </c>
      <c r="Q42" s="15" t="s">
        <v>57</v>
      </c>
      <c r="R42" s="140" t="s">
        <v>1183</v>
      </c>
      <c r="S42" s="17"/>
      <c r="T42" s="140" t="s">
        <v>1184</v>
      </c>
      <c r="U42" s="19" t="s">
        <v>57</v>
      </c>
      <c r="V42" s="140" t="s">
        <v>1185</v>
      </c>
      <c r="W42" s="21" t="s">
        <v>4</v>
      </c>
      <c r="X42" s="140"/>
      <c r="Y42" s="29" t="s">
        <v>57</v>
      </c>
      <c r="Z42" s="140" t="s">
        <v>1186</v>
      </c>
      <c r="AA42" s="25" t="s">
        <v>57</v>
      </c>
      <c r="AB42" s="140" t="s">
        <v>1187</v>
      </c>
      <c r="AC42" s="27" t="s">
        <v>4</v>
      </c>
      <c r="AD42" s="140"/>
      <c r="AE42" s="31" t="s">
        <v>4</v>
      </c>
      <c r="AF42" s="140"/>
      <c r="AG42" s="33" t="s">
        <v>4</v>
      </c>
      <c r="AH42" s="140"/>
      <c r="AI42" s="35" t="s">
        <v>820</v>
      </c>
      <c r="AJ42" s="140" t="s">
        <v>1188</v>
      </c>
      <c r="AK42" s="140" t="s">
        <v>59</v>
      </c>
      <c r="AL42" s="148" t="s">
        <v>1179</v>
      </c>
      <c r="AM42" s="141" t="s">
        <v>1189</v>
      </c>
    </row>
    <row r="43" spans="1:40" ht="25.5">
      <c r="A43" s="4" t="s">
        <v>1190</v>
      </c>
      <c r="B43" s="401" t="s">
        <v>1123</v>
      </c>
      <c r="C43" s="233" t="s">
        <v>1191</v>
      </c>
      <c r="D43" s="144"/>
      <c r="E43" s="104" t="s">
        <v>1192</v>
      </c>
      <c r="G43" s="8" t="s">
        <v>4</v>
      </c>
      <c r="I43" s="10" t="s">
        <v>4</v>
      </c>
      <c r="J43" s="141"/>
      <c r="K43" s="12" t="s">
        <v>4</v>
      </c>
      <c r="L43" s="141"/>
      <c r="M43" s="23" t="s">
        <v>4</v>
      </c>
      <c r="N43" s="141"/>
      <c r="O43" s="14" t="s">
        <v>57</v>
      </c>
      <c r="P43" s="141" t="s">
        <v>1193</v>
      </c>
      <c r="Q43" s="16" t="s">
        <v>4</v>
      </c>
      <c r="R43" s="141"/>
      <c r="S43" s="18" t="s">
        <v>4</v>
      </c>
      <c r="T43" s="141"/>
      <c r="U43" s="20" t="s">
        <v>4</v>
      </c>
      <c r="V43" s="141"/>
      <c r="W43" s="22" t="s">
        <v>4</v>
      </c>
      <c r="X43" s="141"/>
      <c r="Y43" s="30" t="s">
        <v>4</v>
      </c>
      <c r="Z43" s="141"/>
      <c r="AA43" s="26" t="s">
        <v>4</v>
      </c>
      <c r="AB43" s="141"/>
      <c r="AC43" s="28" t="s">
        <v>4</v>
      </c>
      <c r="AD43" s="141"/>
      <c r="AE43" s="32" t="s">
        <v>4</v>
      </c>
      <c r="AF43" s="141"/>
      <c r="AG43" s="34" t="s">
        <v>4</v>
      </c>
      <c r="AH43" s="141"/>
      <c r="AI43" s="36" t="s">
        <v>1129</v>
      </c>
      <c r="AJ43" s="140" t="s">
        <v>1194</v>
      </c>
      <c r="AK43" s="141" t="s">
        <v>59</v>
      </c>
      <c r="AL43" s="148" t="s">
        <v>1192</v>
      </c>
      <c r="AM43" s="141" t="s">
        <v>1195</v>
      </c>
      <c r="AN43" s="139"/>
    </row>
    <row r="44" spans="1:40" ht="15">
      <c r="A44" s="1" t="s">
        <v>1196</v>
      </c>
      <c r="B44" s="401" t="s">
        <v>1123</v>
      </c>
      <c r="C44" s="234" t="s">
        <v>1197</v>
      </c>
      <c r="D44" s="145"/>
      <c r="E44" s="101" t="s">
        <v>1198</v>
      </c>
      <c r="G44" s="7" t="s">
        <v>4</v>
      </c>
      <c r="I44" s="9" t="s">
        <v>4</v>
      </c>
      <c r="J44" s="138"/>
      <c r="K44" s="11" t="s">
        <v>4</v>
      </c>
      <c r="L44" s="138"/>
      <c r="M44" s="24" t="s">
        <v>4</v>
      </c>
      <c r="N44" s="138"/>
      <c r="O44" s="13" t="s">
        <v>4</v>
      </c>
      <c r="P44" s="138"/>
      <c r="Q44" s="15" t="s">
        <v>4</v>
      </c>
      <c r="R44" s="138"/>
      <c r="S44" s="17" t="s">
        <v>4</v>
      </c>
      <c r="T44" s="138"/>
      <c r="U44" s="19" t="s">
        <v>57</v>
      </c>
      <c r="V44" s="138" t="s">
        <v>1199</v>
      </c>
      <c r="W44" s="21" t="s">
        <v>4</v>
      </c>
      <c r="X44" s="138"/>
      <c r="Y44" s="29" t="s">
        <v>4</v>
      </c>
      <c r="Z44" s="138"/>
      <c r="AA44" s="25" t="s">
        <v>4</v>
      </c>
      <c r="AB44" s="138"/>
      <c r="AC44" s="27" t="s">
        <v>4</v>
      </c>
      <c r="AD44" s="138"/>
      <c r="AE44" s="31" t="s">
        <v>4</v>
      </c>
      <c r="AF44" s="138"/>
      <c r="AG44" s="33" t="s">
        <v>4</v>
      </c>
      <c r="AH44" s="138"/>
      <c r="AI44" s="35" t="s">
        <v>1129</v>
      </c>
      <c r="AJ44" s="140" t="s">
        <v>1200</v>
      </c>
      <c r="AK44" s="138" t="s">
        <v>838</v>
      </c>
      <c r="AL44" s="148" t="s">
        <v>1201</v>
      </c>
      <c r="AM44" s="141" t="s">
        <v>1202</v>
      </c>
    </row>
    <row r="45" spans="1:40" ht="15">
      <c r="A45" s="1" t="s">
        <v>1203</v>
      </c>
      <c r="B45" s="401" t="s">
        <v>1123</v>
      </c>
      <c r="C45" s="234" t="s">
        <v>1204</v>
      </c>
      <c r="D45" s="145" t="s">
        <v>53</v>
      </c>
      <c r="E45" s="101" t="s">
        <v>1205</v>
      </c>
      <c r="G45" s="7" t="s">
        <v>4</v>
      </c>
      <c r="I45" s="9" t="s">
        <v>4</v>
      </c>
      <c r="J45" s="138"/>
      <c r="K45" s="11" t="s">
        <v>57</v>
      </c>
      <c r="L45" s="138" t="s">
        <v>1206</v>
      </c>
      <c r="M45" s="24" t="s">
        <v>4</v>
      </c>
      <c r="N45" s="138"/>
      <c r="O45" s="13" t="s">
        <v>4</v>
      </c>
      <c r="P45" s="138"/>
      <c r="Q45" s="15" t="s">
        <v>4</v>
      </c>
      <c r="R45" s="138"/>
      <c r="S45" s="17" t="s">
        <v>4</v>
      </c>
      <c r="T45" s="138"/>
      <c r="U45" s="19" t="s">
        <v>4</v>
      </c>
      <c r="V45" s="138"/>
      <c r="W45" s="21" t="s">
        <v>4</v>
      </c>
      <c r="X45" s="138"/>
      <c r="Y45" s="29" t="s">
        <v>4</v>
      </c>
      <c r="Z45" s="138"/>
      <c r="AA45" s="25" t="s">
        <v>4</v>
      </c>
      <c r="AB45" s="138"/>
      <c r="AC45" s="27" t="s">
        <v>4</v>
      </c>
      <c r="AD45" s="138"/>
      <c r="AE45" s="31" t="s">
        <v>4</v>
      </c>
      <c r="AF45" s="138"/>
      <c r="AG45" s="33" t="s">
        <v>4</v>
      </c>
      <c r="AH45" s="138"/>
      <c r="AI45" s="35" t="s">
        <v>820</v>
      </c>
      <c r="AJ45" s="140" t="s">
        <v>1207</v>
      </c>
      <c r="AK45" s="138" t="s">
        <v>1208</v>
      </c>
      <c r="AL45" s="148" t="s">
        <v>1209</v>
      </c>
      <c r="AM45" s="141" t="s">
        <v>1210</v>
      </c>
    </row>
    <row r="46" spans="1:40" ht="13.5" customHeight="1">
      <c r="A46" s="1" t="s">
        <v>1211</v>
      </c>
      <c r="B46" s="401" t="s">
        <v>1123</v>
      </c>
      <c r="C46" s="234" t="s">
        <v>1212</v>
      </c>
      <c r="D46" s="145"/>
      <c r="E46" s="101" t="s">
        <v>1213</v>
      </c>
      <c r="G46" s="7" t="s">
        <v>4</v>
      </c>
      <c r="I46" s="9" t="s">
        <v>4</v>
      </c>
      <c r="J46" s="138"/>
      <c r="K46" s="11" t="s">
        <v>4</v>
      </c>
      <c r="L46" s="138"/>
      <c r="M46" s="24" t="s">
        <v>4</v>
      </c>
      <c r="N46" s="138"/>
      <c r="O46" s="13" t="s">
        <v>57</v>
      </c>
      <c r="P46" s="138" t="s">
        <v>1214</v>
      </c>
      <c r="Q46" s="15" t="s">
        <v>4</v>
      </c>
      <c r="R46" s="138"/>
      <c r="S46" s="17" t="s">
        <v>4</v>
      </c>
      <c r="T46" s="138"/>
      <c r="U46" s="19" t="s">
        <v>57</v>
      </c>
      <c r="V46" s="138" t="s">
        <v>1215</v>
      </c>
      <c r="W46" s="21" t="s">
        <v>4</v>
      </c>
      <c r="X46" s="138"/>
      <c r="Y46" s="29" t="s">
        <v>4</v>
      </c>
      <c r="Z46" s="138"/>
      <c r="AA46" s="25" t="s">
        <v>4</v>
      </c>
      <c r="AB46" s="138"/>
      <c r="AC46" s="27" t="s">
        <v>4</v>
      </c>
      <c r="AD46" s="138"/>
      <c r="AE46" s="31" t="s">
        <v>4</v>
      </c>
      <c r="AF46" s="138"/>
      <c r="AG46" s="33" t="s">
        <v>4</v>
      </c>
      <c r="AH46" s="138"/>
      <c r="AI46" s="35" t="s">
        <v>1129</v>
      </c>
      <c r="AJ46" s="140" t="s">
        <v>1216</v>
      </c>
      <c r="AK46" s="138" t="s">
        <v>1217</v>
      </c>
      <c r="AL46" s="148"/>
      <c r="AM46" s="141" t="s">
        <v>1218</v>
      </c>
    </row>
    <row r="47" spans="1:40" ht="13.5" customHeight="1">
      <c r="A47" s="155"/>
    </row>
    <row r="48" spans="1:40" ht="13.5" customHeight="1">
      <c r="A48" s="155"/>
    </row>
  </sheetData>
  <autoFilter ref="A1:AL46" xr:uid="{00000000-0001-0000-0200-000000000000}"/>
  <conditionalFormatting sqref="A1:A35 G1:G35">
    <cfRule type="duplicateValues" dxfId="98" priority="204"/>
  </conditionalFormatting>
  <conditionalFormatting sqref="A41">
    <cfRule type="duplicateValues" dxfId="97" priority="23"/>
  </conditionalFormatting>
  <conditionalFormatting sqref="C41">
    <cfRule type="duplicateValues" dxfId="96" priority="22"/>
    <cfRule type="duplicateValues" dxfId="95" priority="24"/>
  </conditionalFormatting>
  <conditionalFormatting sqref="C1:D35">
    <cfRule type="duplicateValues" dxfId="94" priority="209"/>
    <cfRule type="duplicateValues" dxfId="93" priority="208"/>
  </conditionalFormatting>
  <conditionalFormatting sqref="C36:D36">
    <cfRule type="duplicateValues" dxfId="92" priority="44"/>
    <cfRule type="duplicateValues" dxfId="91" priority="46"/>
  </conditionalFormatting>
  <conditionalFormatting sqref="C37:D37">
    <cfRule type="duplicateValues" dxfId="90" priority="41"/>
    <cfRule type="duplicateValues" dxfId="89" priority="43"/>
  </conditionalFormatting>
  <conditionalFormatting sqref="C38:D38">
    <cfRule type="duplicateValues" dxfId="88" priority="40"/>
    <cfRule type="duplicateValues" dxfId="87" priority="38"/>
  </conditionalFormatting>
  <conditionalFormatting sqref="C39:D39">
    <cfRule type="duplicateValues" dxfId="86" priority="37"/>
    <cfRule type="duplicateValues" dxfId="85" priority="35"/>
  </conditionalFormatting>
  <conditionalFormatting sqref="C40:D40">
    <cfRule type="duplicateValues" dxfId="84" priority="32"/>
    <cfRule type="duplicateValues" dxfId="83" priority="34"/>
  </conditionalFormatting>
  <conditionalFormatting sqref="C42:D42">
    <cfRule type="duplicateValues" dxfId="82" priority="19"/>
    <cfRule type="duplicateValues" dxfId="81" priority="21"/>
  </conditionalFormatting>
  <conditionalFormatting sqref="C43:D43">
    <cfRule type="duplicateValues" dxfId="80" priority="16"/>
    <cfRule type="duplicateValues" dxfId="79" priority="18"/>
  </conditionalFormatting>
  <conditionalFormatting sqref="C44:D44">
    <cfRule type="duplicateValues" dxfId="78" priority="13"/>
    <cfRule type="duplicateValues" dxfId="77" priority="15"/>
  </conditionalFormatting>
  <conditionalFormatting sqref="C45:D45">
    <cfRule type="duplicateValues" dxfId="76" priority="10"/>
    <cfRule type="duplicateValues" dxfId="75" priority="12"/>
  </conditionalFormatting>
  <conditionalFormatting sqref="C46:D46">
    <cfRule type="duplicateValues" dxfId="74" priority="9"/>
    <cfRule type="duplicateValues" dxfId="73" priority="7"/>
  </conditionalFormatting>
  <conditionalFormatting sqref="D41">
    <cfRule type="duplicateValues" dxfId="72" priority="25"/>
    <cfRule type="duplicateValues" dxfId="71" priority="26"/>
  </conditionalFormatting>
  <conditionalFormatting sqref="G36 A36">
    <cfRule type="duplicateValues" dxfId="70" priority="45"/>
  </conditionalFormatting>
  <conditionalFormatting sqref="G37 A37">
    <cfRule type="duplicateValues" dxfId="69" priority="42"/>
  </conditionalFormatting>
  <conditionalFormatting sqref="G38 A38">
    <cfRule type="duplicateValues" dxfId="68" priority="39"/>
  </conditionalFormatting>
  <conditionalFormatting sqref="G39 A39">
    <cfRule type="duplicateValues" dxfId="67" priority="36"/>
  </conditionalFormatting>
  <conditionalFormatting sqref="G40 A40">
    <cfRule type="duplicateValues" dxfId="66" priority="33"/>
  </conditionalFormatting>
  <conditionalFormatting sqref="G41">
    <cfRule type="duplicateValues" dxfId="65" priority="30"/>
  </conditionalFormatting>
  <conditionalFormatting sqref="G42 A42">
    <cfRule type="duplicateValues" dxfId="64" priority="20"/>
  </conditionalFormatting>
  <conditionalFormatting sqref="G43 A43">
    <cfRule type="duplicateValues" dxfId="63" priority="17"/>
  </conditionalFormatting>
  <conditionalFormatting sqref="G44 A44">
    <cfRule type="duplicateValues" dxfId="62" priority="14"/>
  </conditionalFormatting>
  <conditionalFormatting sqref="G45 A45">
    <cfRule type="duplicateValues" dxfId="61" priority="11"/>
  </conditionalFormatting>
  <conditionalFormatting sqref="G46 A46">
    <cfRule type="duplicateValues" dxfId="60" priority="8"/>
  </conditionalFormatting>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6000000}"/>
    <hyperlink ref="C7" r:id="rId6" xr:uid="{00000000-0004-0000-0200-000007000000}"/>
    <hyperlink ref="C8" r:id="rId7" xr:uid="{00000000-0004-0000-0200-00000A000000}"/>
    <hyperlink ref="C9" r:id="rId8" xr:uid="{00000000-0004-0000-0200-00000B000000}"/>
    <hyperlink ref="C10" r:id="rId9" xr:uid="{00000000-0004-0000-0200-00000C000000}"/>
    <hyperlink ref="C11" r:id="rId10" xr:uid="{00000000-0004-0000-0200-00000E000000}"/>
    <hyperlink ref="C12" r:id="rId11" location="/" xr:uid="{00000000-0004-0000-0200-000012000000}"/>
    <hyperlink ref="C13" r:id="rId12" xr:uid="{00000000-0004-0000-0200-000013000000}"/>
    <hyperlink ref="C14" r:id="rId13" xr:uid="{00000000-0004-0000-0200-000014000000}"/>
    <hyperlink ref="C15" r:id="rId14" xr:uid="{00000000-0004-0000-0200-000015000000}"/>
    <hyperlink ref="C16" r:id="rId15" xr:uid="{00000000-0004-0000-0200-000016000000}"/>
    <hyperlink ref="C17" r:id="rId16" xr:uid="{00000000-0004-0000-0200-000017000000}"/>
    <hyperlink ref="C18" r:id="rId17" xr:uid="{00000000-0004-0000-0200-000018000000}"/>
    <hyperlink ref="C19" r:id="rId18" xr:uid="{00000000-0004-0000-0200-000019000000}"/>
    <hyperlink ref="C20" r:id="rId19" xr:uid="{00000000-0004-0000-0200-00001A000000}"/>
    <hyperlink ref="C21" r:id="rId20" xr:uid="{00000000-0004-0000-0200-00001B000000}"/>
    <hyperlink ref="C22" r:id="rId21" xr:uid="{00000000-0004-0000-0200-00001C000000}"/>
    <hyperlink ref="C23" r:id="rId22" xr:uid="{00000000-0004-0000-0200-00001D000000}"/>
    <hyperlink ref="C24" r:id="rId23" xr:uid="{00000000-0004-0000-0200-00001E000000}"/>
    <hyperlink ref="C25" r:id="rId24" xr:uid="{00000000-0004-0000-0200-00001F000000}"/>
    <hyperlink ref="C26" r:id="rId25" xr:uid="{00000000-0004-0000-0200-000020000000}"/>
    <hyperlink ref="C28" r:id="rId26" xr:uid="{00000000-0004-0000-0200-000022000000}"/>
    <hyperlink ref="C29" r:id="rId27" xr:uid="{00000000-0004-0000-0200-000023000000}"/>
    <hyperlink ref="C30" r:id="rId28" xr:uid="{00000000-0004-0000-0200-000024000000}"/>
    <hyperlink ref="C31" r:id="rId29" xr:uid="{00000000-0004-0000-0200-000025000000}"/>
    <hyperlink ref="C32" r:id="rId30" xr:uid="{00000000-0004-0000-0200-000026000000}"/>
    <hyperlink ref="C33" r:id="rId31" xr:uid="{00000000-0004-0000-0200-000027000000}"/>
    <hyperlink ref="C34" r:id="rId32" xr:uid="{00000000-0004-0000-0200-000028000000}"/>
    <hyperlink ref="C35" r:id="rId33" xr:uid="{00000000-0004-0000-0200-000029000000}"/>
    <hyperlink ref="C36" r:id="rId34" xr:uid="{00000000-0004-0000-0200-00002A000000}"/>
    <hyperlink ref="C37" r:id="rId35" xr:uid="{00000000-0004-0000-0200-00002B000000}"/>
    <hyperlink ref="C38" r:id="rId36" xr:uid="{00000000-0004-0000-0200-00002C000000}"/>
    <hyperlink ref="C39" r:id="rId37" xr:uid="{00000000-0004-0000-0200-00002D000000}"/>
    <hyperlink ref="C40" r:id="rId38" xr:uid="{00000000-0004-0000-0200-00002E000000}"/>
    <hyperlink ref="C41" r:id="rId39" xr:uid="{00000000-0004-0000-0200-000030000000}"/>
    <hyperlink ref="C42" r:id="rId40" xr:uid="{00000000-0004-0000-0200-000031000000}"/>
    <hyperlink ref="C43" r:id="rId41" xr:uid="{00000000-0004-0000-0200-000032000000}"/>
    <hyperlink ref="C44" r:id="rId42" xr:uid="{00000000-0004-0000-0200-000033000000}"/>
    <hyperlink ref="C45" r:id="rId43" xr:uid="{00000000-0004-0000-0200-000034000000}"/>
    <hyperlink ref="C46" r:id="rId44" xr:uid="{00000000-0004-0000-0200-00003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election activeCell="D4" sqref="D4"/>
    </sheetView>
  </sheetViews>
  <sheetFormatPr defaultRowHeight="15"/>
  <sheetData>
    <row r="1" spans="1:4">
      <c r="A1" t="s">
        <v>1219</v>
      </c>
      <c r="D1" t="s">
        <v>3</v>
      </c>
    </row>
    <row r="2" spans="1:4">
      <c r="A2" s="125" t="s">
        <v>2</v>
      </c>
      <c r="D2" t="s">
        <v>57</v>
      </c>
    </row>
    <row r="3" spans="1:4">
      <c r="A3" t="s">
        <v>1220</v>
      </c>
      <c r="D3" t="s">
        <v>4</v>
      </c>
    </row>
    <row r="4" spans="1:4">
      <c r="A4" t="s">
        <v>1221</v>
      </c>
    </row>
    <row r="5" spans="1:4">
      <c r="A5" t="s">
        <v>456</v>
      </c>
    </row>
    <row r="6" spans="1:4">
      <c r="A6" t="s">
        <v>53</v>
      </c>
    </row>
    <row r="7" spans="1:4">
      <c r="A7" t="s">
        <v>84</v>
      </c>
    </row>
    <row r="8" spans="1:4">
      <c r="A8" t="s">
        <v>92</v>
      </c>
    </row>
    <row r="9" spans="1:4">
      <c r="A9" t="s">
        <v>155</v>
      </c>
    </row>
    <row r="10" spans="1:4">
      <c r="A10"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N2"/>
  <sheetViews>
    <sheetView workbookViewId="0">
      <selection activeCell="A2" sqref="A2"/>
    </sheetView>
  </sheetViews>
  <sheetFormatPr defaultRowHeight="15"/>
  <sheetData>
    <row r="2" spans="1:40" ht="409.5" customHeight="1">
      <c r="A2" s="105" t="b">
        <v>0</v>
      </c>
      <c r="B2" s="108" t="s">
        <v>148</v>
      </c>
      <c r="C2" s="107" t="s">
        <v>1123</v>
      </c>
      <c r="D2" s="124" t="s">
        <v>149</v>
      </c>
      <c r="E2" s="123"/>
      <c r="F2" s="101" t="s">
        <v>1222</v>
      </c>
      <c r="G2" s="106" t="s">
        <v>57</v>
      </c>
      <c r="H2" s="102" t="s">
        <v>1223</v>
      </c>
      <c r="I2" s="109" t="s">
        <v>4</v>
      </c>
      <c r="J2" s="102"/>
      <c r="K2" s="110" t="s">
        <v>4</v>
      </c>
      <c r="L2" s="102"/>
      <c r="M2" s="111" t="s">
        <v>57</v>
      </c>
      <c r="N2" s="102" t="s">
        <v>1224</v>
      </c>
      <c r="O2" s="112" t="s">
        <v>57</v>
      </c>
      <c r="P2" s="102" t="s">
        <v>1225</v>
      </c>
      <c r="Q2" s="113" t="s">
        <v>57</v>
      </c>
      <c r="R2" s="102" t="s">
        <v>1226</v>
      </c>
      <c r="S2" s="114" t="s">
        <v>57</v>
      </c>
      <c r="T2" s="102" t="s">
        <v>1227</v>
      </c>
      <c r="U2" s="115" t="s">
        <v>57</v>
      </c>
      <c r="V2" s="102" t="s">
        <v>1228</v>
      </c>
      <c r="W2" s="116" t="s">
        <v>4</v>
      </c>
      <c r="X2" s="102"/>
      <c r="Y2" s="117" t="s">
        <v>57</v>
      </c>
      <c r="Z2" s="102" t="s">
        <v>1229</v>
      </c>
      <c r="AA2" s="118" t="s">
        <v>57</v>
      </c>
      <c r="AB2" s="102" t="s">
        <v>1230</v>
      </c>
      <c r="AC2" s="119" t="s">
        <v>57</v>
      </c>
      <c r="AD2" s="102" t="s">
        <v>1231</v>
      </c>
      <c r="AE2" s="120" t="s">
        <v>57</v>
      </c>
      <c r="AF2" s="102" t="s">
        <v>1232</v>
      </c>
      <c r="AG2" s="121" t="s">
        <v>57</v>
      </c>
      <c r="AH2" s="102" t="s">
        <v>1233</v>
      </c>
      <c r="AI2" s="122" t="s">
        <v>272</v>
      </c>
      <c r="AJ2" s="102" t="s">
        <v>1234</v>
      </c>
      <c r="AK2" s="102" t="s">
        <v>1235</v>
      </c>
      <c r="AL2" s="104" t="s">
        <v>1236</v>
      </c>
      <c r="AM2" s="103" t="s">
        <v>1237</v>
      </c>
      <c r="AN2" s="105"/>
    </row>
  </sheetData>
  <conditionalFormatting sqref="B2 G2">
    <cfRule type="duplicateValues" dxfId="59" priority="2"/>
  </conditionalFormatting>
  <conditionalFormatting sqref="D2:E2">
    <cfRule type="duplicateValues" dxfId="58" priority="1"/>
    <cfRule type="duplicateValues" dxfId="57" priority="3"/>
  </conditionalFormatting>
  <hyperlinks>
    <hyperlink ref="D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E53C-1102-4649-8525-5E54984D2B8B}">
  <dimension ref="A2"/>
  <sheetViews>
    <sheetView workbookViewId="0">
      <selection activeCell="A2" sqref="A2"/>
    </sheetView>
  </sheetViews>
  <sheetFormatPr defaultRowHeight="15"/>
  <sheetData>
    <row r="2" spans="1:1">
      <c r="A2" s="4" t="s">
        <v>880</v>
      </c>
    </row>
  </sheetData>
  <conditionalFormatting sqref="A2">
    <cfRule type="duplicateValues" dxfId="5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5DB1-8C93-49D4-9BF0-AC01B929DF93}">
  <dimension ref="A1:H479"/>
  <sheetViews>
    <sheetView workbookViewId="0">
      <pane ySplit="1" topLeftCell="A403" activePane="bottomLeft" state="frozen"/>
      <selection pane="bottomLeft" activeCell="A463" sqref="A463"/>
    </sheetView>
  </sheetViews>
  <sheetFormatPr defaultRowHeight="16.5" customHeight="1"/>
  <cols>
    <col min="1" max="1" width="28.5703125" customWidth="1"/>
    <col min="2" max="2" width="40.5703125" customWidth="1"/>
    <col min="3" max="3" width="102" style="242" customWidth="1"/>
    <col min="4" max="4" width="22.85546875" customWidth="1"/>
    <col min="5" max="5" width="33" customWidth="1"/>
    <col min="6" max="6" width="18.42578125" customWidth="1"/>
    <col min="7" max="7" width="49.42578125" customWidth="1"/>
  </cols>
  <sheetData>
    <row r="1" spans="1:8" ht="16.5" customHeight="1">
      <c r="A1" s="364" t="s">
        <v>1238</v>
      </c>
      <c r="B1" s="364" t="s">
        <v>1239</v>
      </c>
      <c r="C1" s="385" t="s">
        <v>1240</v>
      </c>
      <c r="D1" s="364" t="s">
        <v>27</v>
      </c>
      <c r="E1" s="364" t="s">
        <v>1241</v>
      </c>
      <c r="F1" s="364" t="s">
        <v>1242</v>
      </c>
      <c r="G1" s="364" t="s">
        <v>1243</v>
      </c>
      <c r="H1" s="365"/>
    </row>
    <row r="2" spans="1:8" ht="16.5" customHeight="1">
      <c r="A2" s="366" t="s">
        <v>1244</v>
      </c>
      <c r="B2" s="366" t="s">
        <v>1245</v>
      </c>
      <c r="C2" s="386" t="s">
        <v>1246</v>
      </c>
      <c r="D2" s="367" t="s">
        <v>1247</v>
      </c>
      <c r="E2" s="149"/>
      <c r="F2" s="139"/>
      <c r="G2" s="366" t="s">
        <v>1248</v>
      </c>
      <c r="H2" s="368"/>
    </row>
    <row r="3" spans="1:8" ht="16.5" customHeight="1">
      <c r="A3" s="368" t="s">
        <v>1249</v>
      </c>
      <c r="B3" s="368" t="s">
        <v>1250</v>
      </c>
      <c r="C3" s="387" t="s">
        <v>1251</v>
      </c>
      <c r="D3" s="369" t="s">
        <v>1247</v>
      </c>
      <c r="E3" s="369"/>
      <c r="F3" s="370"/>
      <c r="G3" s="368" t="s">
        <v>1252</v>
      </c>
      <c r="H3" s="368"/>
    </row>
    <row r="4" spans="1:8" ht="16.5" customHeight="1">
      <c r="A4" s="368" t="s">
        <v>1253</v>
      </c>
      <c r="B4" s="368" t="s">
        <v>1254</v>
      </c>
      <c r="C4" s="387" t="s">
        <v>1255</v>
      </c>
      <c r="D4" s="369" t="s">
        <v>1247</v>
      </c>
      <c r="E4" s="369"/>
      <c r="F4" s="370"/>
      <c r="G4" s="368" t="s">
        <v>1252</v>
      </c>
      <c r="H4" s="368"/>
    </row>
    <row r="5" spans="1:8" ht="16.5" customHeight="1">
      <c r="A5" s="368" t="s">
        <v>1256</v>
      </c>
      <c r="B5" s="363" t="s">
        <v>1257</v>
      </c>
      <c r="C5" s="387" t="s">
        <v>1258</v>
      </c>
      <c r="D5" s="369" t="s">
        <v>1247</v>
      </c>
      <c r="E5" s="369"/>
      <c r="F5" s="370">
        <v>5</v>
      </c>
      <c r="G5" s="368" t="s">
        <v>1259</v>
      </c>
      <c r="H5" s="368"/>
    </row>
    <row r="6" spans="1:8" ht="16.5" customHeight="1">
      <c r="A6" s="366" t="s">
        <v>1260</v>
      </c>
      <c r="B6" s="366" t="s">
        <v>1261</v>
      </c>
      <c r="C6" s="386" t="s">
        <v>1262</v>
      </c>
      <c r="D6" s="367" t="s">
        <v>1247</v>
      </c>
      <c r="E6" s="149"/>
      <c r="F6" s="139"/>
      <c r="G6" s="366" t="s">
        <v>1263</v>
      </c>
      <c r="H6" s="368"/>
    </row>
    <row r="7" spans="1:8" ht="16.5" customHeight="1">
      <c r="A7" s="368" t="s">
        <v>1264</v>
      </c>
      <c r="B7" s="363" t="s">
        <v>1264</v>
      </c>
      <c r="C7" s="388" t="s">
        <v>1265</v>
      </c>
      <c r="D7" s="369" t="s">
        <v>1247</v>
      </c>
      <c r="E7" s="369"/>
      <c r="F7" s="370"/>
      <c r="G7" s="368" t="s">
        <v>1266</v>
      </c>
      <c r="H7" s="368"/>
    </row>
    <row r="8" spans="1:8" ht="16.5" customHeight="1">
      <c r="A8" s="368" t="s">
        <v>1267</v>
      </c>
      <c r="B8" s="371" t="s">
        <v>1268</v>
      </c>
      <c r="C8" s="387" t="s">
        <v>1269</v>
      </c>
      <c r="D8" s="369"/>
      <c r="E8" s="369"/>
      <c r="F8" s="370"/>
      <c r="G8" s="366" t="s">
        <v>1270</v>
      </c>
      <c r="H8" s="368"/>
    </row>
    <row r="9" spans="1:8" ht="16.5" customHeight="1">
      <c r="A9" s="368" t="s">
        <v>1271</v>
      </c>
      <c r="B9" s="372" t="s">
        <v>1272</v>
      </c>
      <c r="C9" s="387" t="s">
        <v>1273</v>
      </c>
      <c r="D9" s="369" t="s">
        <v>1247</v>
      </c>
      <c r="E9" s="369"/>
      <c r="F9" s="370"/>
      <c r="G9" s="366" t="s">
        <v>1274</v>
      </c>
      <c r="H9" s="368"/>
    </row>
    <row r="10" spans="1:8" ht="16.5" customHeight="1">
      <c r="A10" s="366" t="s">
        <v>1275</v>
      </c>
      <c r="B10" s="366" t="s">
        <v>1276</v>
      </c>
      <c r="C10" s="386" t="s">
        <v>1277</v>
      </c>
      <c r="D10" s="367" t="s">
        <v>1247</v>
      </c>
      <c r="E10" s="149"/>
      <c r="F10" s="139"/>
      <c r="G10" s="366" t="s">
        <v>1270</v>
      </c>
      <c r="H10" s="368"/>
    </row>
    <row r="11" spans="1:8" ht="16.5" customHeight="1">
      <c r="A11" s="366" t="s">
        <v>1278</v>
      </c>
      <c r="B11" s="243" t="s">
        <v>1279</v>
      </c>
      <c r="C11" s="386" t="s">
        <v>1280</v>
      </c>
      <c r="D11" s="367" t="s">
        <v>1247</v>
      </c>
      <c r="E11" s="149" t="s">
        <v>1281</v>
      </c>
      <c r="F11" s="139"/>
      <c r="G11" s="366" t="s">
        <v>1270</v>
      </c>
      <c r="H11" s="368"/>
    </row>
    <row r="12" spans="1:8" ht="16.5" customHeight="1">
      <c r="A12" s="366" t="s">
        <v>1282</v>
      </c>
      <c r="B12" s="243" t="s">
        <v>1283</v>
      </c>
      <c r="C12" s="386" t="s">
        <v>1284</v>
      </c>
      <c r="D12" s="367" t="s">
        <v>1247</v>
      </c>
      <c r="E12" s="149"/>
      <c r="F12" s="139"/>
      <c r="G12" s="366" t="s">
        <v>1270</v>
      </c>
      <c r="H12" s="368"/>
    </row>
    <row r="13" spans="1:8" ht="16.5" customHeight="1">
      <c r="A13" s="366" t="s">
        <v>1285</v>
      </c>
      <c r="B13" s="366" t="s">
        <v>1286</v>
      </c>
      <c r="C13" s="387" t="s">
        <v>1287</v>
      </c>
      <c r="D13" s="149" t="s">
        <v>1247</v>
      </c>
      <c r="E13" s="149"/>
      <c r="F13" s="139"/>
      <c r="G13" s="366" t="s">
        <v>1270</v>
      </c>
      <c r="H13" s="368"/>
    </row>
    <row r="14" spans="1:8" ht="16.5" customHeight="1">
      <c r="A14" s="366" t="s">
        <v>1288</v>
      </c>
      <c r="B14" s="243" t="s">
        <v>1289</v>
      </c>
      <c r="C14" s="386" t="s">
        <v>1290</v>
      </c>
      <c r="D14" s="367" t="s">
        <v>1247</v>
      </c>
      <c r="E14" s="149"/>
      <c r="F14" s="139"/>
      <c r="G14" s="366" t="s">
        <v>1270</v>
      </c>
      <c r="H14" s="368"/>
    </row>
    <row r="15" spans="1:8" ht="16.5" customHeight="1">
      <c r="A15" s="368" t="s">
        <v>1291</v>
      </c>
      <c r="B15" s="368" t="s">
        <v>1292</v>
      </c>
      <c r="C15" s="387" t="s">
        <v>1293</v>
      </c>
      <c r="D15" s="369" t="s">
        <v>1247</v>
      </c>
      <c r="E15" s="369"/>
      <c r="F15" s="370"/>
      <c r="G15" s="368" t="s">
        <v>1294</v>
      </c>
      <c r="H15" s="368"/>
    </row>
    <row r="16" spans="1:8" ht="16.5" customHeight="1">
      <c r="A16" s="368" t="s">
        <v>1295</v>
      </c>
      <c r="B16" s="371" t="s">
        <v>1296</v>
      </c>
      <c r="C16" s="387" t="s">
        <v>1297</v>
      </c>
      <c r="D16" s="369" t="s">
        <v>1247</v>
      </c>
      <c r="E16" s="369"/>
      <c r="F16" s="370">
        <v>3</v>
      </c>
      <c r="G16" s="368" t="s">
        <v>1298</v>
      </c>
      <c r="H16" s="368"/>
    </row>
    <row r="17" spans="1:8" ht="16.5" customHeight="1">
      <c r="A17" s="368" t="s">
        <v>1299</v>
      </c>
      <c r="B17" s="368" t="s">
        <v>1300</v>
      </c>
      <c r="C17" s="387" t="s">
        <v>1301</v>
      </c>
      <c r="D17" s="369" t="s">
        <v>1247</v>
      </c>
      <c r="E17" s="369"/>
      <c r="F17" s="370">
        <v>5</v>
      </c>
      <c r="G17" s="368" t="s">
        <v>1298</v>
      </c>
      <c r="H17" s="368"/>
    </row>
    <row r="18" spans="1:8" ht="16.5" customHeight="1">
      <c r="A18" s="368" t="s">
        <v>1302</v>
      </c>
      <c r="B18" s="373" t="s">
        <v>1302</v>
      </c>
      <c r="C18" s="387" t="s">
        <v>1303</v>
      </c>
      <c r="D18" s="369" t="s">
        <v>1247</v>
      </c>
      <c r="E18" s="369"/>
      <c r="F18" s="370"/>
      <c r="G18" s="368" t="s">
        <v>1298</v>
      </c>
      <c r="H18" s="368"/>
    </row>
    <row r="19" spans="1:8" ht="16.5" customHeight="1">
      <c r="A19" s="368" t="s">
        <v>1304</v>
      </c>
      <c r="B19" s="371" t="s">
        <v>1305</v>
      </c>
      <c r="C19" s="387" t="s">
        <v>1306</v>
      </c>
      <c r="D19" s="369" t="s">
        <v>1307</v>
      </c>
      <c r="E19" s="369" t="s">
        <v>1308</v>
      </c>
      <c r="F19" s="370">
        <v>4</v>
      </c>
      <c r="G19" s="368" t="s">
        <v>1298</v>
      </c>
      <c r="H19" s="368"/>
    </row>
    <row r="20" spans="1:8" ht="16.5" customHeight="1">
      <c r="A20" s="368" t="s">
        <v>1309</v>
      </c>
      <c r="B20" s="368" t="s">
        <v>1310</v>
      </c>
      <c r="C20" s="387" t="s">
        <v>1311</v>
      </c>
      <c r="D20" s="369" t="s">
        <v>1247</v>
      </c>
      <c r="E20" s="369"/>
      <c r="F20" s="370"/>
      <c r="G20" s="368" t="s">
        <v>1298</v>
      </c>
      <c r="H20" s="368"/>
    </row>
    <row r="21" spans="1:8" ht="16.5" customHeight="1">
      <c r="A21" s="368" t="s">
        <v>1312</v>
      </c>
      <c r="B21" s="363" t="s">
        <v>1313</v>
      </c>
      <c r="C21" s="387" t="s">
        <v>1314</v>
      </c>
      <c r="D21" s="369" t="s">
        <v>1247</v>
      </c>
      <c r="E21" s="369"/>
      <c r="F21" s="370">
        <v>5</v>
      </c>
      <c r="G21" s="368" t="s">
        <v>1315</v>
      </c>
      <c r="H21" s="368"/>
    </row>
    <row r="22" spans="1:8" ht="16.5" customHeight="1">
      <c r="A22" s="368" t="s">
        <v>1316</v>
      </c>
      <c r="B22" s="368" t="s">
        <v>1317</v>
      </c>
      <c r="C22" s="387" t="s">
        <v>1318</v>
      </c>
      <c r="D22" s="369" t="s">
        <v>1319</v>
      </c>
      <c r="E22" s="369"/>
      <c r="F22" s="370">
        <v>4</v>
      </c>
      <c r="G22" s="368" t="s">
        <v>1315</v>
      </c>
      <c r="H22" s="368"/>
    </row>
    <row r="23" spans="1:8" ht="16.5" customHeight="1">
      <c r="A23" s="368" t="s">
        <v>1320</v>
      </c>
      <c r="B23" s="371" t="s">
        <v>1321</v>
      </c>
      <c r="C23" s="387" t="s">
        <v>1322</v>
      </c>
      <c r="D23" s="369" t="s">
        <v>1247</v>
      </c>
      <c r="E23" s="369"/>
      <c r="F23" s="370"/>
      <c r="G23" s="368" t="s">
        <v>1323</v>
      </c>
      <c r="H23" s="368"/>
    </row>
    <row r="24" spans="1:8" ht="16.5" customHeight="1">
      <c r="A24" s="368" t="s">
        <v>1324</v>
      </c>
      <c r="B24" s="373" t="s">
        <v>1324</v>
      </c>
      <c r="C24" s="387" t="s">
        <v>1325</v>
      </c>
      <c r="D24" s="369" t="s">
        <v>1247</v>
      </c>
      <c r="E24" s="369"/>
      <c r="F24" s="370"/>
      <c r="G24" s="368" t="s">
        <v>1326</v>
      </c>
      <c r="H24" s="368"/>
    </row>
    <row r="25" spans="1:8" ht="16.5" customHeight="1">
      <c r="A25" s="368" t="s">
        <v>1327</v>
      </c>
      <c r="B25" s="371" t="s">
        <v>1328</v>
      </c>
      <c r="C25" s="387" t="s">
        <v>1329</v>
      </c>
      <c r="D25" s="369" t="s">
        <v>1247</v>
      </c>
      <c r="E25" s="369"/>
      <c r="F25" s="370">
        <v>3</v>
      </c>
      <c r="G25" s="368" t="s">
        <v>1326</v>
      </c>
      <c r="H25" s="368"/>
    </row>
    <row r="26" spans="1:8" ht="16.5" customHeight="1">
      <c r="A26" s="368" t="s">
        <v>1330</v>
      </c>
      <c r="B26" s="371" t="s">
        <v>1331</v>
      </c>
      <c r="C26" s="387" t="s">
        <v>1332</v>
      </c>
      <c r="D26" s="369" t="s">
        <v>1247</v>
      </c>
      <c r="E26" s="369"/>
      <c r="F26" s="370">
        <v>3</v>
      </c>
      <c r="G26" s="368" t="s">
        <v>1326</v>
      </c>
      <c r="H26" s="366"/>
    </row>
    <row r="27" spans="1:8" ht="16.5" customHeight="1">
      <c r="A27" s="368" t="s">
        <v>1333</v>
      </c>
      <c r="B27" s="371" t="s">
        <v>1334</v>
      </c>
      <c r="C27" s="387" t="s">
        <v>1335</v>
      </c>
      <c r="D27" s="369" t="s">
        <v>1319</v>
      </c>
      <c r="E27" s="369"/>
      <c r="F27" s="370">
        <v>5</v>
      </c>
      <c r="G27" s="368" t="s">
        <v>1326</v>
      </c>
      <c r="H27" s="366"/>
    </row>
    <row r="28" spans="1:8" ht="16.5" customHeight="1">
      <c r="A28" s="366" t="s">
        <v>1336</v>
      </c>
      <c r="B28" s="243" t="s">
        <v>1337</v>
      </c>
      <c r="C28" s="386" t="s">
        <v>1338</v>
      </c>
      <c r="D28" s="367" t="s">
        <v>1247</v>
      </c>
      <c r="E28" s="149"/>
      <c r="F28" s="139"/>
      <c r="G28" s="366" t="s">
        <v>1339</v>
      </c>
      <c r="H28" s="366"/>
    </row>
    <row r="29" spans="1:8" ht="16.5" customHeight="1">
      <c r="A29" s="366" t="s">
        <v>1340</v>
      </c>
      <c r="B29" s="243" t="s">
        <v>1341</v>
      </c>
      <c r="C29" s="386" t="s">
        <v>1342</v>
      </c>
      <c r="D29" s="367" t="s">
        <v>1247</v>
      </c>
      <c r="E29" s="149"/>
      <c r="F29" s="139"/>
      <c r="G29" s="368" t="s">
        <v>1343</v>
      </c>
      <c r="H29" s="366"/>
    </row>
    <row r="30" spans="1:8" ht="16.5" customHeight="1">
      <c r="A30" s="374" t="s">
        <v>1344</v>
      </c>
      <c r="B30" s="371" t="s">
        <v>1345</v>
      </c>
      <c r="C30" s="389" t="s">
        <v>1346</v>
      </c>
      <c r="D30" s="369" t="s">
        <v>1307</v>
      </c>
      <c r="E30" s="369" t="s">
        <v>1347</v>
      </c>
      <c r="F30" s="375">
        <v>5</v>
      </c>
      <c r="G30" s="368" t="s">
        <v>1339</v>
      </c>
      <c r="H30" s="368"/>
    </row>
    <row r="31" spans="1:8" ht="16.5" customHeight="1">
      <c r="A31" s="366" t="s">
        <v>1348</v>
      </c>
      <c r="B31" s="366" t="s">
        <v>1349</v>
      </c>
      <c r="C31" s="386" t="s">
        <v>1350</v>
      </c>
      <c r="D31" s="367" t="s">
        <v>1247</v>
      </c>
      <c r="E31" s="149"/>
      <c r="F31" s="139"/>
      <c r="G31" s="368" t="s">
        <v>1343</v>
      </c>
      <c r="H31" s="368"/>
    </row>
    <row r="32" spans="1:8" ht="16.5" customHeight="1">
      <c r="A32" s="368" t="s">
        <v>1351</v>
      </c>
      <c r="B32" s="363" t="s">
        <v>1352</v>
      </c>
      <c r="C32" s="387" t="s">
        <v>1353</v>
      </c>
      <c r="D32" s="369" t="s">
        <v>1307</v>
      </c>
      <c r="E32" s="369" t="s">
        <v>1347</v>
      </c>
      <c r="F32" s="370">
        <v>5</v>
      </c>
      <c r="G32" s="368" t="s">
        <v>1343</v>
      </c>
      <c r="H32" s="368"/>
    </row>
    <row r="33" spans="1:8" ht="16.5" customHeight="1">
      <c r="A33" s="368" t="s">
        <v>1354</v>
      </c>
      <c r="B33" s="243" t="s">
        <v>1355</v>
      </c>
      <c r="C33" s="387" t="s">
        <v>1356</v>
      </c>
      <c r="D33" s="369" t="s">
        <v>1307</v>
      </c>
      <c r="E33" s="369" t="s">
        <v>1347</v>
      </c>
      <c r="F33" s="370">
        <v>5</v>
      </c>
      <c r="G33" s="368" t="s">
        <v>1343</v>
      </c>
      <c r="H33" s="368"/>
    </row>
    <row r="34" spans="1:8" ht="16.5" customHeight="1">
      <c r="A34" s="366" t="s">
        <v>1357</v>
      </c>
      <c r="B34" s="366" t="s">
        <v>1358</v>
      </c>
      <c r="C34" s="386" t="s">
        <v>1359</v>
      </c>
      <c r="D34" s="149" t="s">
        <v>1247</v>
      </c>
      <c r="E34" s="149"/>
      <c r="F34" s="139">
        <v>5</v>
      </c>
      <c r="G34" s="368" t="s">
        <v>1343</v>
      </c>
      <c r="H34" s="368"/>
    </row>
    <row r="35" spans="1:8" ht="16.5" customHeight="1">
      <c r="A35" s="368" t="s">
        <v>1360</v>
      </c>
      <c r="B35" s="373" t="s">
        <v>1360</v>
      </c>
      <c r="C35" s="387" t="s">
        <v>1361</v>
      </c>
      <c r="D35" s="369" t="s">
        <v>1247</v>
      </c>
      <c r="E35" s="369"/>
      <c r="F35" s="370"/>
      <c r="G35" s="368" t="s">
        <v>1343</v>
      </c>
      <c r="H35" s="368"/>
    </row>
    <row r="36" spans="1:8" ht="16.5" customHeight="1">
      <c r="A36" s="368" t="s">
        <v>1362</v>
      </c>
      <c r="B36" s="368" t="s">
        <v>1363</v>
      </c>
      <c r="C36" s="387" t="s">
        <v>1364</v>
      </c>
      <c r="D36" s="369" t="s">
        <v>1307</v>
      </c>
      <c r="E36" s="368" t="s">
        <v>1365</v>
      </c>
      <c r="F36" s="370">
        <v>4</v>
      </c>
      <c r="G36" s="368" t="s">
        <v>1343</v>
      </c>
      <c r="H36" s="368"/>
    </row>
    <row r="37" spans="1:8" ht="16.5" customHeight="1">
      <c r="A37" s="368" t="s">
        <v>1366</v>
      </c>
      <c r="B37" s="368" t="s">
        <v>1367</v>
      </c>
      <c r="C37" s="387" t="s">
        <v>1368</v>
      </c>
      <c r="D37" s="369" t="s">
        <v>1247</v>
      </c>
      <c r="E37" s="369"/>
      <c r="F37" s="370"/>
      <c r="G37" s="368" t="s">
        <v>1343</v>
      </c>
      <c r="H37" s="368"/>
    </row>
    <row r="38" spans="1:8" ht="16.5" customHeight="1">
      <c r="A38" s="368" t="s">
        <v>1369</v>
      </c>
      <c r="B38" s="363" t="s">
        <v>1370</v>
      </c>
      <c r="C38" s="388" t="s">
        <v>1371</v>
      </c>
      <c r="D38" s="369" t="s">
        <v>1247</v>
      </c>
      <c r="E38" s="149"/>
      <c r="F38" s="139"/>
      <c r="G38" s="368" t="s">
        <v>1343</v>
      </c>
      <c r="H38" s="368"/>
    </row>
    <row r="39" spans="1:8" ht="16.5" customHeight="1">
      <c r="A39" s="368" t="s">
        <v>1372</v>
      </c>
      <c r="B39" s="371" t="s">
        <v>1373</v>
      </c>
      <c r="C39" s="387" t="s">
        <v>1374</v>
      </c>
      <c r="D39" s="369" t="s">
        <v>1307</v>
      </c>
      <c r="E39" s="369" t="s">
        <v>1347</v>
      </c>
      <c r="F39" s="370">
        <v>4</v>
      </c>
      <c r="G39" s="368" t="s">
        <v>1343</v>
      </c>
      <c r="H39" s="368"/>
    </row>
    <row r="40" spans="1:8" ht="16.5" customHeight="1">
      <c r="A40" s="366" t="s">
        <v>1375</v>
      </c>
      <c r="B40" s="366" t="s">
        <v>1376</v>
      </c>
      <c r="C40" s="386" t="s">
        <v>1377</v>
      </c>
      <c r="D40" s="367" t="s">
        <v>1247</v>
      </c>
      <c r="E40" s="149"/>
      <c r="F40" s="139"/>
      <c r="G40" s="368" t="s">
        <v>1343</v>
      </c>
      <c r="H40" s="368"/>
    </row>
    <row r="41" spans="1:8" ht="16.5" customHeight="1">
      <c r="A41" s="366" t="s">
        <v>1378</v>
      </c>
      <c r="B41" s="366" t="s">
        <v>1379</v>
      </c>
      <c r="C41" s="386" t="s">
        <v>1380</v>
      </c>
      <c r="D41" s="367" t="s">
        <v>1247</v>
      </c>
      <c r="E41" s="149"/>
      <c r="F41" s="139">
        <v>5</v>
      </c>
      <c r="G41" s="368" t="s">
        <v>1343</v>
      </c>
      <c r="H41" s="368"/>
    </row>
    <row r="42" spans="1:8" ht="16.5" customHeight="1">
      <c r="A42" s="366" t="s">
        <v>1381</v>
      </c>
      <c r="B42" s="366" t="s">
        <v>1382</v>
      </c>
      <c r="C42" s="386" t="s">
        <v>1383</v>
      </c>
      <c r="D42" s="367" t="s">
        <v>1247</v>
      </c>
      <c r="E42" s="149"/>
      <c r="F42" s="139"/>
      <c r="G42" s="368" t="s">
        <v>1343</v>
      </c>
      <c r="H42" s="368"/>
    </row>
    <row r="43" spans="1:8" ht="16.5" customHeight="1">
      <c r="A43" s="366" t="s">
        <v>1384</v>
      </c>
      <c r="B43" s="366" t="s">
        <v>1385</v>
      </c>
      <c r="C43" s="386" t="s">
        <v>1386</v>
      </c>
      <c r="D43" s="367" t="s">
        <v>1387</v>
      </c>
      <c r="E43" s="149"/>
      <c r="F43" s="139"/>
      <c r="G43" s="368" t="s">
        <v>1343</v>
      </c>
      <c r="H43" s="368"/>
    </row>
    <row r="44" spans="1:8" ht="16.5" customHeight="1">
      <c r="A44" s="368" t="s">
        <v>1388</v>
      </c>
      <c r="B44" s="243" t="s">
        <v>1389</v>
      </c>
      <c r="C44" s="387" t="s">
        <v>1390</v>
      </c>
      <c r="D44" s="369" t="s">
        <v>1247</v>
      </c>
      <c r="E44" s="369"/>
      <c r="F44" s="375"/>
      <c r="G44" s="368" t="s">
        <v>1343</v>
      </c>
      <c r="H44" s="368"/>
    </row>
    <row r="45" spans="1:8" ht="16.5" customHeight="1">
      <c r="A45" s="368" t="s">
        <v>1391</v>
      </c>
      <c r="B45" s="373" t="s">
        <v>1391</v>
      </c>
      <c r="C45" s="387" t="s">
        <v>1392</v>
      </c>
      <c r="D45" s="369" t="s">
        <v>1247</v>
      </c>
      <c r="E45" s="369"/>
      <c r="F45" s="370"/>
      <c r="G45" s="368" t="s">
        <v>1343</v>
      </c>
      <c r="H45" s="368"/>
    </row>
    <row r="46" spans="1:8" ht="16.5" customHeight="1">
      <c r="A46" s="368" t="s">
        <v>1393</v>
      </c>
      <c r="B46" s="243" t="s">
        <v>1394</v>
      </c>
      <c r="C46" s="387" t="s">
        <v>1395</v>
      </c>
      <c r="D46" s="369" t="s">
        <v>1247</v>
      </c>
      <c r="E46" s="369"/>
      <c r="F46" s="370"/>
      <c r="G46" s="368" t="s">
        <v>1343</v>
      </c>
      <c r="H46" s="368"/>
    </row>
    <row r="47" spans="1:8" ht="16.5" customHeight="1">
      <c r="A47" s="366" t="s">
        <v>1396</v>
      </c>
      <c r="B47" s="366" t="s">
        <v>1397</v>
      </c>
      <c r="C47" s="386" t="s">
        <v>1398</v>
      </c>
      <c r="D47" s="367" t="s">
        <v>1247</v>
      </c>
      <c r="E47" s="149" t="s">
        <v>1399</v>
      </c>
      <c r="F47" s="139"/>
      <c r="G47" s="368" t="s">
        <v>1400</v>
      </c>
      <c r="H47" s="368"/>
    </row>
    <row r="48" spans="1:8" ht="16.5" customHeight="1">
      <c r="A48" s="366" t="s">
        <v>1401</v>
      </c>
      <c r="B48" s="243" t="s">
        <v>1402</v>
      </c>
      <c r="C48" s="386" t="s">
        <v>1403</v>
      </c>
      <c r="D48" s="369" t="s">
        <v>1247</v>
      </c>
      <c r="E48" s="149"/>
      <c r="F48" s="139"/>
      <c r="G48" s="366" t="s">
        <v>1400</v>
      </c>
      <c r="H48" s="368"/>
    </row>
    <row r="49" spans="1:8" ht="16.5" customHeight="1">
      <c r="A49" s="366" t="s">
        <v>1404</v>
      </c>
      <c r="B49" s="366" t="s">
        <v>1405</v>
      </c>
      <c r="C49" s="386" t="s">
        <v>1403</v>
      </c>
      <c r="D49" s="367" t="s">
        <v>1247</v>
      </c>
      <c r="E49" s="149"/>
      <c r="F49" s="139"/>
      <c r="G49" s="366" t="s">
        <v>1400</v>
      </c>
      <c r="H49" s="368"/>
    </row>
    <row r="50" spans="1:8" ht="16.5" customHeight="1">
      <c r="A50" s="366" t="s">
        <v>1406</v>
      </c>
      <c r="B50" s="243" t="s">
        <v>1407</v>
      </c>
      <c r="C50" s="386" t="s">
        <v>1408</v>
      </c>
      <c r="D50" s="369" t="s">
        <v>1247</v>
      </c>
      <c r="E50" s="149"/>
      <c r="F50" s="139">
        <v>5</v>
      </c>
      <c r="G50" s="368" t="s">
        <v>1343</v>
      </c>
      <c r="H50" s="368"/>
    </row>
    <row r="51" spans="1:8" ht="16.5" customHeight="1">
      <c r="A51" s="368" t="s">
        <v>1409</v>
      </c>
      <c r="B51" s="373" t="s">
        <v>1409</v>
      </c>
      <c r="C51" s="387" t="s">
        <v>1410</v>
      </c>
      <c r="D51" s="369" t="s">
        <v>1247</v>
      </c>
      <c r="E51" s="369"/>
      <c r="F51" s="370"/>
      <c r="G51" s="368" t="s">
        <v>1343</v>
      </c>
      <c r="H51" s="368"/>
    </row>
    <row r="52" spans="1:8" ht="16.5" customHeight="1">
      <c r="A52" s="368" t="s">
        <v>1411</v>
      </c>
      <c r="B52" s="368" t="s">
        <v>1412</v>
      </c>
      <c r="C52" s="387" t="s">
        <v>1413</v>
      </c>
      <c r="D52" s="369" t="s">
        <v>1247</v>
      </c>
      <c r="E52" s="369"/>
      <c r="F52" s="370"/>
      <c r="G52" s="368" t="s">
        <v>1414</v>
      </c>
      <c r="H52" s="368"/>
    </row>
    <row r="53" spans="1:8" ht="16.5" customHeight="1">
      <c r="A53" s="368" t="s">
        <v>1415</v>
      </c>
      <c r="B53" s="373" t="s">
        <v>1415</v>
      </c>
      <c r="C53" s="387" t="s">
        <v>1416</v>
      </c>
      <c r="D53" s="369" t="s">
        <v>1247</v>
      </c>
      <c r="E53" s="369"/>
      <c r="F53" s="370"/>
      <c r="G53" s="368" t="s">
        <v>1417</v>
      </c>
      <c r="H53" s="368"/>
    </row>
    <row r="54" spans="1:8" ht="16.5" customHeight="1">
      <c r="A54" s="368" t="s">
        <v>1418</v>
      </c>
      <c r="B54" s="373" t="s">
        <v>1418</v>
      </c>
      <c r="C54" s="387" t="s">
        <v>1419</v>
      </c>
      <c r="D54" s="369" t="s">
        <v>1247</v>
      </c>
      <c r="E54" s="369"/>
      <c r="F54" s="370"/>
      <c r="G54" s="368" t="s">
        <v>1417</v>
      </c>
      <c r="H54" s="368"/>
    </row>
    <row r="55" spans="1:8" ht="16.5" customHeight="1">
      <c r="A55" s="368" t="s">
        <v>1420</v>
      </c>
      <c r="B55" s="373" t="s">
        <v>1420</v>
      </c>
      <c r="C55" s="387" t="s">
        <v>1421</v>
      </c>
      <c r="D55" s="369" t="s">
        <v>1247</v>
      </c>
      <c r="E55" s="369"/>
      <c r="F55" s="370"/>
      <c r="G55" s="368" t="s">
        <v>1417</v>
      </c>
      <c r="H55" s="368"/>
    </row>
    <row r="56" spans="1:8" ht="16.5" customHeight="1">
      <c r="A56" s="368" t="s">
        <v>1422</v>
      </c>
      <c r="B56" s="373" t="s">
        <v>1422</v>
      </c>
      <c r="C56" s="387" t="s">
        <v>1423</v>
      </c>
      <c r="D56" s="369" t="s">
        <v>1247</v>
      </c>
      <c r="E56" s="369"/>
      <c r="F56" s="370"/>
      <c r="G56" s="368" t="s">
        <v>1417</v>
      </c>
      <c r="H56" s="368"/>
    </row>
    <row r="57" spans="1:8" ht="16.5" customHeight="1">
      <c r="A57" s="368" t="s">
        <v>1424</v>
      </c>
      <c r="B57" s="371" t="s">
        <v>1425</v>
      </c>
      <c r="C57" s="387" t="s">
        <v>1426</v>
      </c>
      <c r="D57" s="369" t="s">
        <v>1427</v>
      </c>
      <c r="E57" s="369"/>
      <c r="F57" s="370">
        <v>4</v>
      </c>
      <c r="G57" s="368" t="s">
        <v>1428</v>
      </c>
      <c r="H57" s="368"/>
    </row>
    <row r="58" spans="1:8" ht="16.5" customHeight="1">
      <c r="A58" s="368" t="s">
        <v>1429</v>
      </c>
      <c r="B58" s="368" t="s">
        <v>1430</v>
      </c>
      <c r="C58" s="387" t="s">
        <v>1431</v>
      </c>
      <c r="D58" s="369" t="s">
        <v>1247</v>
      </c>
      <c r="E58" s="369"/>
      <c r="F58" s="370"/>
      <c r="G58" s="368" t="s">
        <v>1428</v>
      </c>
      <c r="H58" s="368"/>
    </row>
    <row r="59" spans="1:8" ht="16.5" customHeight="1">
      <c r="A59" s="368" t="s">
        <v>1432</v>
      </c>
      <c r="B59" s="368" t="s">
        <v>1433</v>
      </c>
      <c r="C59" s="387" t="s">
        <v>1434</v>
      </c>
      <c r="D59" s="369" t="s">
        <v>1247</v>
      </c>
      <c r="E59" s="369"/>
      <c r="F59" s="370"/>
      <c r="G59" s="368" t="s">
        <v>1428</v>
      </c>
      <c r="H59" s="368"/>
    </row>
    <row r="60" spans="1:8" ht="16.5" customHeight="1">
      <c r="A60" s="368" t="s">
        <v>1435</v>
      </c>
      <c r="B60" s="368" t="s">
        <v>1436</v>
      </c>
      <c r="C60" s="387" t="s">
        <v>1437</v>
      </c>
      <c r="D60" s="369" t="s">
        <v>1247</v>
      </c>
      <c r="E60" s="369"/>
      <c r="F60" s="370"/>
      <c r="G60" s="368" t="s">
        <v>1428</v>
      </c>
      <c r="H60" s="368"/>
    </row>
    <row r="61" spans="1:8" ht="16.5" customHeight="1">
      <c r="A61" s="368" t="s">
        <v>1438</v>
      </c>
      <c r="B61" s="368" t="s">
        <v>1439</v>
      </c>
      <c r="C61" s="387" t="s">
        <v>1440</v>
      </c>
      <c r="D61" s="369" t="s">
        <v>1247</v>
      </c>
      <c r="E61" s="369"/>
      <c r="F61" s="370"/>
      <c r="G61" s="368" t="s">
        <v>1428</v>
      </c>
      <c r="H61" s="368"/>
    </row>
    <row r="62" spans="1:8" ht="16.5" customHeight="1">
      <c r="A62" s="368" t="s">
        <v>1441</v>
      </c>
      <c r="B62" s="368" t="s">
        <v>1442</v>
      </c>
      <c r="C62" s="387" t="s">
        <v>1443</v>
      </c>
      <c r="D62" s="369" t="s">
        <v>1247</v>
      </c>
      <c r="E62" s="369"/>
      <c r="F62" s="370"/>
      <c r="G62" s="368" t="s">
        <v>1428</v>
      </c>
      <c r="H62" s="368"/>
    </row>
    <row r="63" spans="1:8" ht="16.5" customHeight="1">
      <c r="A63" s="368" t="s">
        <v>1444</v>
      </c>
      <c r="B63" s="368" t="s">
        <v>1445</v>
      </c>
      <c r="C63" s="387" t="s">
        <v>1446</v>
      </c>
      <c r="D63" s="369" t="s">
        <v>1247</v>
      </c>
      <c r="E63" s="369"/>
      <c r="F63" s="370"/>
      <c r="G63" s="368" t="s">
        <v>1428</v>
      </c>
      <c r="H63" s="368"/>
    </row>
    <row r="64" spans="1:8" ht="16.5" customHeight="1">
      <c r="A64" s="368" t="s">
        <v>1447</v>
      </c>
      <c r="B64" s="368" t="s">
        <v>1448</v>
      </c>
      <c r="C64" s="387" t="s">
        <v>1449</v>
      </c>
      <c r="D64" s="369" t="s">
        <v>1247</v>
      </c>
      <c r="E64" s="369"/>
      <c r="F64" s="370"/>
      <c r="G64" s="368" t="s">
        <v>1428</v>
      </c>
      <c r="H64" s="368"/>
    </row>
    <row r="65" spans="1:8" ht="16.5" customHeight="1">
      <c r="A65" s="368" t="s">
        <v>1450</v>
      </c>
      <c r="B65" s="368" t="s">
        <v>1451</v>
      </c>
      <c r="C65" s="387" t="s">
        <v>1452</v>
      </c>
      <c r="D65" s="369" t="s">
        <v>1247</v>
      </c>
      <c r="E65" s="369"/>
      <c r="F65" s="370"/>
      <c r="G65" s="368" t="s">
        <v>1428</v>
      </c>
      <c r="H65" s="368"/>
    </row>
    <row r="66" spans="1:8" ht="16.5" customHeight="1">
      <c r="A66" s="368" t="s">
        <v>1453</v>
      </c>
      <c r="B66" s="368" t="s">
        <v>1454</v>
      </c>
      <c r="C66" s="387" t="s">
        <v>1455</v>
      </c>
      <c r="D66" s="369" t="s">
        <v>1247</v>
      </c>
      <c r="E66" s="369"/>
      <c r="F66" s="370"/>
      <c r="G66" s="368" t="s">
        <v>1428</v>
      </c>
      <c r="H66" s="368"/>
    </row>
    <row r="67" spans="1:8" ht="16.5" customHeight="1">
      <c r="A67" s="368" t="s">
        <v>1456</v>
      </c>
      <c r="B67" s="368" t="s">
        <v>1457</v>
      </c>
      <c r="C67" s="387" t="s">
        <v>1458</v>
      </c>
      <c r="D67" s="369" t="s">
        <v>1247</v>
      </c>
      <c r="E67" s="369"/>
      <c r="F67" s="370"/>
      <c r="G67" s="368" t="s">
        <v>1428</v>
      </c>
      <c r="H67" s="368"/>
    </row>
    <row r="68" spans="1:8" ht="16.5" customHeight="1">
      <c r="A68" s="368" t="s">
        <v>1459</v>
      </c>
      <c r="B68" s="368" t="s">
        <v>1460</v>
      </c>
      <c r="C68" s="387" t="s">
        <v>1461</v>
      </c>
      <c r="D68" s="369" t="s">
        <v>1247</v>
      </c>
      <c r="E68" s="369"/>
      <c r="F68" s="370"/>
      <c r="G68" s="368" t="s">
        <v>1428</v>
      </c>
      <c r="H68" s="368"/>
    </row>
    <row r="69" spans="1:8" ht="16.5" customHeight="1">
      <c r="A69" s="368" t="s">
        <v>1462</v>
      </c>
      <c r="B69" s="368" t="s">
        <v>1463</v>
      </c>
      <c r="C69" s="387" t="s">
        <v>1464</v>
      </c>
      <c r="D69" s="369" t="s">
        <v>1247</v>
      </c>
      <c r="E69" s="369"/>
      <c r="F69" s="370"/>
      <c r="G69" s="368" t="s">
        <v>1465</v>
      </c>
      <c r="H69" s="368"/>
    </row>
    <row r="70" spans="1:8" ht="16.5" customHeight="1">
      <c r="A70" s="368" t="s">
        <v>1466</v>
      </c>
      <c r="B70" s="368" t="s">
        <v>1467</v>
      </c>
      <c r="C70" s="387" t="s">
        <v>1468</v>
      </c>
      <c r="D70" s="369" t="s">
        <v>1247</v>
      </c>
      <c r="E70" s="369"/>
      <c r="F70" s="370"/>
      <c r="G70" s="368" t="s">
        <v>1465</v>
      </c>
      <c r="H70" s="368"/>
    </row>
    <row r="71" spans="1:8" ht="16.5" customHeight="1">
      <c r="A71" s="368" t="s">
        <v>1469</v>
      </c>
      <c r="B71" s="373" t="s">
        <v>1469</v>
      </c>
      <c r="C71" s="387" t="s">
        <v>1470</v>
      </c>
      <c r="D71" s="369" t="s">
        <v>1247</v>
      </c>
      <c r="E71" s="369"/>
      <c r="F71" s="370"/>
      <c r="G71" s="368" t="s">
        <v>1465</v>
      </c>
      <c r="H71" s="368"/>
    </row>
    <row r="72" spans="1:8" ht="16.5" customHeight="1">
      <c r="A72" s="368" t="s">
        <v>1471</v>
      </c>
      <c r="B72" s="368" t="s">
        <v>1472</v>
      </c>
      <c r="C72" s="387" t="s">
        <v>1473</v>
      </c>
      <c r="D72" s="369" t="s">
        <v>1247</v>
      </c>
      <c r="E72" s="369"/>
      <c r="F72" s="370"/>
      <c r="G72" s="368" t="s">
        <v>1474</v>
      </c>
      <c r="H72" s="368"/>
    </row>
    <row r="73" spans="1:8" ht="16.5" customHeight="1">
      <c r="A73" s="368" t="s">
        <v>1475</v>
      </c>
      <c r="B73" s="368" t="s">
        <v>1476</v>
      </c>
      <c r="C73" s="387" t="s">
        <v>1477</v>
      </c>
      <c r="D73" s="369" t="s">
        <v>1247</v>
      </c>
      <c r="E73" s="369"/>
      <c r="F73" s="370"/>
      <c r="G73" s="368" t="s">
        <v>1474</v>
      </c>
      <c r="H73" s="368"/>
    </row>
    <row r="74" spans="1:8" ht="16.5" customHeight="1">
      <c r="A74" s="368" t="s">
        <v>1478</v>
      </c>
      <c r="B74" s="368" t="s">
        <v>1479</v>
      </c>
      <c r="C74" s="387" t="s">
        <v>1480</v>
      </c>
      <c r="D74" s="369" t="s">
        <v>1247</v>
      </c>
      <c r="E74" s="369"/>
      <c r="F74" s="370"/>
      <c r="G74" s="368" t="s">
        <v>1474</v>
      </c>
      <c r="H74" s="368"/>
    </row>
    <row r="75" spans="1:8" ht="16.5" customHeight="1">
      <c r="A75" s="368" t="s">
        <v>1481</v>
      </c>
      <c r="B75" s="368" t="s">
        <v>1482</v>
      </c>
      <c r="C75" s="387" t="s">
        <v>1483</v>
      </c>
      <c r="D75" s="369" t="s">
        <v>1247</v>
      </c>
      <c r="E75" s="369"/>
      <c r="F75" s="370"/>
      <c r="G75" s="368" t="s">
        <v>1474</v>
      </c>
      <c r="H75" s="368"/>
    </row>
    <row r="76" spans="1:8" ht="16.5" customHeight="1">
      <c r="A76" s="368" t="s">
        <v>1484</v>
      </c>
      <c r="B76" s="373" t="s">
        <v>1484</v>
      </c>
      <c r="C76" s="387" t="s">
        <v>1485</v>
      </c>
      <c r="D76" s="369" t="s">
        <v>1247</v>
      </c>
      <c r="E76" s="369"/>
      <c r="F76" s="370"/>
      <c r="G76" s="368" t="s">
        <v>1486</v>
      </c>
      <c r="H76" s="368"/>
    </row>
    <row r="77" spans="1:8" ht="16.5" customHeight="1">
      <c r="A77" s="368" t="s">
        <v>1487</v>
      </c>
      <c r="B77" s="368" t="s">
        <v>1488</v>
      </c>
      <c r="C77" s="387" t="s">
        <v>1489</v>
      </c>
      <c r="D77" s="369" t="s">
        <v>1247</v>
      </c>
      <c r="E77" s="369"/>
      <c r="F77" s="370"/>
      <c r="G77" s="368" t="s">
        <v>1490</v>
      </c>
      <c r="H77" s="368"/>
    </row>
    <row r="78" spans="1:8" ht="16.5" customHeight="1">
      <c r="A78" s="366" t="s">
        <v>1491</v>
      </c>
      <c r="B78" s="366" t="s">
        <v>1492</v>
      </c>
      <c r="C78" s="386" t="s">
        <v>1493</v>
      </c>
      <c r="D78" s="369" t="s">
        <v>1247</v>
      </c>
      <c r="E78" s="149"/>
      <c r="F78" s="139"/>
      <c r="G78" s="366" t="s">
        <v>1494</v>
      </c>
      <c r="H78" s="368"/>
    </row>
    <row r="79" spans="1:8" ht="16.5" customHeight="1">
      <c r="A79" s="368" t="s">
        <v>1495</v>
      </c>
      <c r="B79" s="373" t="s">
        <v>1495</v>
      </c>
      <c r="C79" s="387" t="s">
        <v>1496</v>
      </c>
      <c r="D79" s="369" t="s">
        <v>1247</v>
      </c>
      <c r="E79" s="369"/>
      <c r="F79" s="370"/>
      <c r="G79" s="368" t="s">
        <v>1497</v>
      </c>
      <c r="H79" s="368"/>
    </row>
    <row r="80" spans="1:8" ht="16.5" customHeight="1">
      <c r="A80" s="368" t="s">
        <v>1498</v>
      </c>
      <c r="B80" s="373" t="s">
        <v>1498</v>
      </c>
      <c r="C80" s="387" t="s">
        <v>1499</v>
      </c>
      <c r="D80" s="369" t="s">
        <v>1247</v>
      </c>
      <c r="E80" s="369"/>
      <c r="F80" s="370"/>
      <c r="G80" s="368" t="s">
        <v>1500</v>
      </c>
      <c r="H80" s="368"/>
    </row>
    <row r="81" spans="1:8" ht="16.5" customHeight="1">
      <c r="A81" s="371" t="s">
        <v>1501</v>
      </c>
      <c r="B81" s="371" t="s">
        <v>1502</v>
      </c>
      <c r="C81" s="386" t="s">
        <v>1503</v>
      </c>
      <c r="D81" s="369" t="s">
        <v>1247</v>
      </c>
      <c r="E81" s="369"/>
      <c r="F81" s="139">
        <v>4</v>
      </c>
      <c r="G81" s="366" t="s">
        <v>1500</v>
      </c>
      <c r="H81" s="368"/>
    </row>
    <row r="82" spans="1:8" ht="16.5" customHeight="1">
      <c r="A82" s="368" t="s">
        <v>1504</v>
      </c>
      <c r="B82" s="368" t="s">
        <v>1505</v>
      </c>
      <c r="C82" s="387" t="s">
        <v>1506</v>
      </c>
      <c r="D82" s="369" t="s">
        <v>1247</v>
      </c>
      <c r="E82" s="369"/>
      <c r="F82" s="370"/>
      <c r="G82" s="368" t="s">
        <v>1507</v>
      </c>
      <c r="H82" s="366"/>
    </row>
    <row r="83" spans="1:8" ht="16.5" customHeight="1">
      <c r="A83" s="368" t="s">
        <v>1508</v>
      </c>
      <c r="B83" s="371" t="s">
        <v>1509</v>
      </c>
      <c r="C83" s="387" t="s">
        <v>1510</v>
      </c>
      <c r="D83" s="369" t="s">
        <v>1247</v>
      </c>
      <c r="E83" s="368" t="s">
        <v>1511</v>
      </c>
      <c r="F83" s="370">
        <v>4</v>
      </c>
      <c r="G83" s="368" t="s">
        <v>1512</v>
      </c>
      <c r="H83" s="366"/>
    </row>
    <row r="84" spans="1:8" ht="16.5" customHeight="1">
      <c r="A84" s="368" t="s">
        <v>1513</v>
      </c>
      <c r="B84" s="371" t="s">
        <v>1514</v>
      </c>
      <c r="C84" s="387" t="s">
        <v>1515</v>
      </c>
      <c r="D84" s="369" t="s">
        <v>1307</v>
      </c>
      <c r="E84" s="368" t="s">
        <v>1516</v>
      </c>
      <c r="F84" s="370">
        <v>4</v>
      </c>
      <c r="G84" s="368" t="s">
        <v>1512</v>
      </c>
      <c r="H84" s="366"/>
    </row>
    <row r="85" spans="1:8" ht="16.5" customHeight="1">
      <c r="A85" s="368" t="s">
        <v>1517</v>
      </c>
      <c r="B85" s="372" t="s">
        <v>1518</v>
      </c>
      <c r="C85" s="387" t="s">
        <v>1519</v>
      </c>
      <c r="D85" s="369" t="s">
        <v>1247</v>
      </c>
      <c r="E85" s="369"/>
      <c r="F85" s="370"/>
      <c r="G85" s="368" t="s">
        <v>1512</v>
      </c>
      <c r="H85" s="366"/>
    </row>
    <row r="86" spans="1:8" ht="16.5" customHeight="1">
      <c r="A86" s="368" t="s">
        <v>1520</v>
      </c>
      <c r="B86" s="371" t="s">
        <v>1521</v>
      </c>
      <c r="C86" s="387" t="s">
        <v>1522</v>
      </c>
      <c r="D86" s="369" t="s">
        <v>1247</v>
      </c>
      <c r="E86" s="368" t="s">
        <v>1511</v>
      </c>
      <c r="F86" s="370">
        <v>4</v>
      </c>
      <c r="G86" s="368" t="s">
        <v>1512</v>
      </c>
      <c r="H86" s="366"/>
    </row>
    <row r="87" spans="1:8" ht="16.5" customHeight="1">
      <c r="A87" s="368" t="s">
        <v>1523</v>
      </c>
      <c r="B87" s="371" t="s">
        <v>1524</v>
      </c>
      <c r="C87" s="387" t="s">
        <v>1525</v>
      </c>
      <c r="D87" s="369" t="s">
        <v>1247</v>
      </c>
      <c r="E87" s="368" t="s">
        <v>1511</v>
      </c>
      <c r="F87" s="370">
        <v>4</v>
      </c>
      <c r="G87" s="368" t="s">
        <v>1512</v>
      </c>
      <c r="H87" s="366"/>
    </row>
    <row r="88" spans="1:8" ht="16.5" customHeight="1">
      <c r="A88" s="368" t="s">
        <v>1526</v>
      </c>
      <c r="B88" s="363" t="s">
        <v>1527</v>
      </c>
      <c r="C88" s="387" t="s">
        <v>1528</v>
      </c>
      <c r="D88" s="369" t="s">
        <v>1247</v>
      </c>
      <c r="E88" s="369"/>
      <c r="F88" s="370">
        <v>5</v>
      </c>
      <c r="G88" s="368" t="s">
        <v>1512</v>
      </c>
      <c r="H88" s="366"/>
    </row>
    <row r="89" spans="1:8" ht="16.5" customHeight="1">
      <c r="A89" s="366" t="s">
        <v>1529</v>
      </c>
      <c r="B89" s="366" t="s">
        <v>1530</v>
      </c>
      <c r="C89" s="386" t="s">
        <v>1531</v>
      </c>
      <c r="D89" s="149" t="s">
        <v>1247</v>
      </c>
      <c r="E89" s="149"/>
      <c r="F89" s="139">
        <v>5</v>
      </c>
      <c r="G89" s="366" t="s">
        <v>1512</v>
      </c>
      <c r="H89" s="366"/>
    </row>
    <row r="90" spans="1:8" ht="16.5" customHeight="1">
      <c r="A90" s="366" t="s">
        <v>1532</v>
      </c>
      <c r="B90" s="243" t="s">
        <v>1533</v>
      </c>
      <c r="C90" s="387" t="s">
        <v>1534</v>
      </c>
      <c r="D90" s="149" t="s">
        <v>1247</v>
      </c>
      <c r="E90" s="149"/>
      <c r="F90" s="139">
        <v>5</v>
      </c>
      <c r="G90" s="366" t="s">
        <v>1512</v>
      </c>
      <c r="H90" s="366"/>
    </row>
    <row r="91" spans="1:8" ht="16.5" customHeight="1">
      <c r="A91" s="368" t="s">
        <v>1535</v>
      </c>
      <c r="B91" s="363" t="s">
        <v>1536</v>
      </c>
      <c r="C91" s="390" t="s">
        <v>1537</v>
      </c>
      <c r="D91" s="369" t="s">
        <v>1247</v>
      </c>
      <c r="E91" s="369"/>
      <c r="F91" s="376">
        <v>5</v>
      </c>
      <c r="G91" s="368" t="s">
        <v>1512</v>
      </c>
      <c r="H91" s="366"/>
    </row>
    <row r="92" spans="1:8" ht="16.5" customHeight="1">
      <c r="A92" s="368" t="s">
        <v>1538</v>
      </c>
      <c r="B92" s="371" t="s">
        <v>1539</v>
      </c>
      <c r="C92" s="387" t="s">
        <v>1540</v>
      </c>
      <c r="D92" s="369" t="s">
        <v>1307</v>
      </c>
      <c r="E92" s="368" t="s">
        <v>1541</v>
      </c>
      <c r="F92" s="370">
        <v>5</v>
      </c>
      <c r="G92" s="368" t="s">
        <v>1512</v>
      </c>
      <c r="H92" s="366"/>
    </row>
    <row r="93" spans="1:8" ht="16.5" customHeight="1">
      <c r="A93" s="366" t="s">
        <v>1542</v>
      </c>
      <c r="B93" s="243" t="s">
        <v>1543</v>
      </c>
      <c r="C93" s="386" t="s">
        <v>1544</v>
      </c>
      <c r="D93" s="369" t="s">
        <v>1247</v>
      </c>
      <c r="E93" s="149"/>
      <c r="F93" s="139"/>
      <c r="G93" s="368" t="s">
        <v>1512</v>
      </c>
      <c r="H93" s="366"/>
    </row>
    <row r="94" spans="1:8" ht="16.5" customHeight="1">
      <c r="A94" s="368" t="s">
        <v>1545</v>
      </c>
      <c r="B94" s="368" t="s">
        <v>1546</v>
      </c>
      <c r="C94" s="387" t="s">
        <v>1547</v>
      </c>
      <c r="D94" s="369" t="s">
        <v>1247</v>
      </c>
      <c r="E94" s="369"/>
      <c r="F94" s="370">
        <v>4</v>
      </c>
      <c r="G94" s="368" t="s">
        <v>1512</v>
      </c>
      <c r="H94" s="366"/>
    </row>
    <row r="95" spans="1:8" ht="16.5" customHeight="1">
      <c r="A95" s="368" t="s">
        <v>1548</v>
      </c>
      <c r="B95" s="243" t="s">
        <v>1549</v>
      </c>
      <c r="C95" s="387" t="s">
        <v>1550</v>
      </c>
      <c r="D95" s="369" t="s">
        <v>1307</v>
      </c>
      <c r="E95" s="368" t="s">
        <v>1516</v>
      </c>
      <c r="F95" s="370">
        <v>4</v>
      </c>
      <c r="G95" s="368" t="s">
        <v>1512</v>
      </c>
      <c r="H95" s="366"/>
    </row>
    <row r="96" spans="1:8" ht="16.5" customHeight="1">
      <c r="A96" s="368" t="s">
        <v>1551</v>
      </c>
      <c r="B96" s="368" t="s">
        <v>1552</v>
      </c>
      <c r="C96" s="387" t="s">
        <v>1553</v>
      </c>
      <c r="D96" s="369" t="s">
        <v>1247</v>
      </c>
      <c r="E96" s="369"/>
      <c r="F96" s="370"/>
      <c r="G96" s="368" t="s">
        <v>1512</v>
      </c>
      <c r="H96" s="368"/>
    </row>
    <row r="97" spans="1:8" ht="16.5" customHeight="1">
      <c r="A97" s="366" t="s">
        <v>1554</v>
      </c>
      <c r="B97" s="363" t="s">
        <v>1555</v>
      </c>
      <c r="C97" s="387" t="s">
        <v>1556</v>
      </c>
      <c r="D97" s="369" t="s">
        <v>1247</v>
      </c>
      <c r="E97" s="149"/>
      <c r="F97" s="139"/>
      <c r="G97" s="366" t="s">
        <v>1512</v>
      </c>
      <c r="H97" s="368"/>
    </row>
    <row r="98" spans="1:8" ht="16.5" customHeight="1">
      <c r="A98" s="368" t="s">
        <v>1557</v>
      </c>
      <c r="B98" s="373" t="s">
        <v>1557</v>
      </c>
      <c r="C98" s="387" t="s">
        <v>1558</v>
      </c>
      <c r="D98" s="369" t="s">
        <v>1247</v>
      </c>
      <c r="E98" s="369"/>
      <c r="F98" s="370"/>
      <c r="G98" s="368" t="s">
        <v>1559</v>
      </c>
      <c r="H98" s="368"/>
    </row>
    <row r="99" spans="1:8" ht="16.5" customHeight="1">
      <c r="A99" s="366" t="s">
        <v>1560</v>
      </c>
      <c r="B99" s="243" t="s">
        <v>1561</v>
      </c>
      <c r="C99" s="386" t="s">
        <v>1562</v>
      </c>
      <c r="D99" s="367" t="s">
        <v>1247</v>
      </c>
      <c r="E99" s="149"/>
      <c r="F99" s="139"/>
      <c r="G99" s="366" t="s">
        <v>1563</v>
      </c>
      <c r="H99" s="368"/>
    </row>
    <row r="100" spans="1:8" ht="16.5" customHeight="1">
      <c r="A100" s="366" t="s">
        <v>1564</v>
      </c>
      <c r="B100" s="366" t="s">
        <v>1565</v>
      </c>
      <c r="C100" s="386" t="s">
        <v>1566</v>
      </c>
      <c r="D100" s="369" t="s">
        <v>1247</v>
      </c>
      <c r="E100" s="149"/>
      <c r="F100" s="139"/>
      <c r="G100" s="366" t="s">
        <v>1563</v>
      </c>
      <c r="H100" s="368"/>
    </row>
    <row r="101" spans="1:8" ht="16.5" customHeight="1">
      <c r="A101" s="366" t="s">
        <v>1567</v>
      </c>
      <c r="B101" s="366" t="s">
        <v>1568</v>
      </c>
      <c r="C101" s="386" t="s">
        <v>1569</v>
      </c>
      <c r="D101" s="369" t="s">
        <v>1427</v>
      </c>
      <c r="E101" s="149" t="s">
        <v>1570</v>
      </c>
      <c r="F101" s="139">
        <v>5</v>
      </c>
      <c r="G101" s="366" t="s">
        <v>1563</v>
      </c>
      <c r="H101" s="368"/>
    </row>
    <row r="102" spans="1:8" ht="16.5" customHeight="1">
      <c r="A102" s="366" t="s">
        <v>1571</v>
      </c>
      <c r="B102" s="243" t="s">
        <v>1572</v>
      </c>
      <c r="C102" s="386" t="s">
        <v>1573</v>
      </c>
      <c r="D102" s="369" t="s">
        <v>1427</v>
      </c>
      <c r="E102" s="149" t="s">
        <v>1570</v>
      </c>
      <c r="F102" s="139">
        <v>4</v>
      </c>
      <c r="G102" s="366" t="s">
        <v>1563</v>
      </c>
      <c r="H102" s="368"/>
    </row>
    <row r="103" spans="1:8" ht="16.5" customHeight="1">
      <c r="A103" s="366" t="s">
        <v>1574</v>
      </c>
      <c r="B103" s="243" t="s">
        <v>1575</v>
      </c>
      <c r="C103" s="387" t="s">
        <v>1576</v>
      </c>
      <c r="D103" s="369" t="s">
        <v>1427</v>
      </c>
      <c r="E103" s="149" t="s">
        <v>1570</v>
      </c>
      <c r="F103" s="139">
        <v>5</v>
      </c>
      <c r="G103" s="366" t="s">
        <v>1563</v>
      </c>
      <c r="H103" s="368"/>
    </row>
    <row r="104" spans="1:8" ht="16.5" customHeight="1">
      <c r="A104" s="366" t="s">
        <v>1577</v>
      </c>
      <c r="B104" s="366" t="s">
        <v>1578</v>
      </c>
      <c r="C104" s="386" t="s">
        <v>1579</v>
      </c>
      <c r="D104" s="369" t="s">
        <v>1247</v>
      </c>
      <c r="E104" s="369"/>
      <c r="F104" s="139">
        <v>4</v>
      </c>
      <c r="G104" s="366" t="s">
        <v>1563</v>
      </c>
      <c r="H104" s="368"/>
    </row>
    <row r="105" spans="1:8" ht="16.5" customHeight="1">
      <c r="A105" s="366" t="s">
        <v>1580</v>
      </c>
      <c r="B105" s="366" t="s">
        <v>1581</v>
      </c>
      <c r="C105" s="386" t="s">
        <v>1582</v>
      </c>
      <c r="D105" s="369" t="s">
        <v>1247</v>
      </c>
      <c r="E105" s="149"/>
      <c r="F105" s="139"/>
      <c r="G105" s="366" t="s">
        <v>1563</v>
      </c>
      <c r="H105" s="368"/>
    </row>
    <row r="106" spans="1:8" ht="16.5" customHeight="1">
      <c r="A106" s="366" t="s">
        <v>1583</v>
      </c>
      <c r="B106" s="243" t="s">
        <v>1584</v>
      </c>
      <c r="C106" s="387" t="s">
        <v>1576</v>
      </c>
      <c r="D106" s="369" t="s">
        <v>1427</v>
      </c>
      <c r="E106" s="149"/>
      <c r="F106" s="139">
        <v>3</v>
      </c>
      <c r="G106" s="366" t="s">
        <v>1563</v>
      </c>
      <c r="H106" s="368"/>
    </row>
    <row r="107" spans="1:8" ht="16.5" customHeight="1">
      <c r="A107" s="368" t="s">
        <v>1585</v>
      </c>
      <c r="B107" s="363" t="s">
        <v>1586</v>
      </c>
      <c r="C107" s="387" t="s">
        <v>1587</v>
      </c>
      <c r="D107" s="369" t="s">
        <v>1247</v>
      </c>
      <c r="E107" s="149"/>
      <c r="F107" s="139"/>
      <c r="G107" s="366" t="s">
        <v>1563</v>
      </c>
      <c r="H107" s="368"/>
    </row>
    <row r="108" spans="1:8" ht="16.5" customHeight="1">
      <c r="A108" s="368" t="s">
        <v>1588</v>
      </c>
      <c r="B108" s="363" t="s">
        <v>1589</v>
      </c>
      <c r="C108" s="387" t="s">
        <v>1590</v>
      </c>
      <c r="D108" s="369" t="s">
        <v>1247</v>
      </c>
      <c r="E108" s="149"/>
      <c r="F108" s="139"/>
      <c r="G108" s="366" t="s">
        <v>1563</v>
      </c>
      <c r="H108" s="368"/>
    </row>
    <row r="109" spans="1:8" ht="16.5" customHeight="1">
      <c r="A109" s="366" t="s">
        <v>1591</v>
      </c>
      <c r="B109" s="243" t="s">
        <v>1592</v>
      </c>
      <c r="C109" s="387" t="s">
        <v>1593</v>
      </c>
      <c r="D109" s="369" t="s">
        <v>1247</v>
      </c>
      <c r="E109" s="149"/>
      <c r="F109" s="139">
        <v>4</v>
      </c>
      <c r="G109" s="366" t="s">
        <v>1594</v>
      </c>
      <c r="H109" s="368"/>
    </row>
    <row r="110" spans="1:8" ht="16.5" customHeight="1">
      <c r="A110" s="368" t="s">
        <v>1595</v>
      </c>
      <c r="B110" s="373" t="s">
        <v>1595</v>
      </c>
      <c r="C110" s="387" t="s">
        <v>1596</v>
      </c>
      <c r="D110" s="369" t="s">
        <v>1247</v>
      </c>
      <c r="E110" s="369"/>
      <c r="F110" s="370"/>
      <c r="G110" s="368" t="s">
        <v>1563</v>
      </c>
      <c r="H110" s="368"/>
    </row>
    <row r="111" spans="1:8" ht="16.5" customHeight="1">
      <c r="A111" s="366" t="s">
        <v>1597</v>
      </c>
      <c r="B111" s="243" t="s">
        <v>1598</v>
      </c>
      <c r="C111" s="386" t="s">
        <v>1599</v>
      </c>
      <c r="D111" s="369" t="s">
        <v>1247</v>
      </c>
      <c r="E111" s="149"/>
      <c r="F111" s="139"/>
      <c r="G111" s="366" t="s">
        <v>1563</v>
      </c>
      <c r="H111" s="368"/>
    </row>
    <row r="112" spans="1:8" ht="16.5" customHeight="1">
      <c r="A112" s="368" t="s">
        <v>1600</v>
      </c>
      <c r="B112" s="373" t="s">
        <v>1600</v>
      </c>
      <c r="C112" s="387" t="s">
        <v>1601</v>
      </c>
      <c r="D112" s="369" t="s">
        <v>1247</v>
      </c>
      <c r="E112" s="369"/>
      <c r="F112" s="370"/>
      <c r="G112" s="368" t="s">
        <v>1563</v>
      </c>
      <c r="H112" s="368"/>
    </row>
    <row r="113" spans="1:8" ht="16.5" customHeight="1">
      <c r="A113" s="366" t="s">
        <v>1602</v>
      </c>
      <c r="B113" s="366" t="s">
        <v>1603</v>
      </c>
      <c r="C113" s="386" t="s">
        <v>1604</v>
      </c>
      <c r="D113" s="369" t="s">
        <v>1247</v>
      </c>
      <c r="E113" s="149"/>
      <c r="F113" s="139"/>
      <c r="G113" s="366" t="s">
        <v>1563</v>
      </c>
      <c r="H113" s="368"/>
    </row>
    <row r="114" spans="1:8" ht="16.5" customHeight="1">
      <c r="A114" s="366" t="s">
        <v>1605</v>
      </c>
      <c r="B114" s="366" t="s">
        <v>1606</v>
      </c>
      <c r="C114" s="386" t="s">
        <v>1607</v>
      </c>
      <c r="D114" s="367" t="s">
        <v>1247</v>
      </c>
      <c r="E114" s="149"/>
      <c r="F114" s="139"/>
      <c r="G114" s="366" t="s">
        <v>1594</v>
      </c>
      <c r="H114" s="368"/>
    </row>
    <row r="115" spans="1:8" ht="16.5" customHeight="1">
      <c r="A115" s="366" t="s">
        <v>1608</v>
      </c>
      <c r="B115" s="366" t="s">
        <v>1609</v>
      </c>
      <c r="C115" s="386" t="s">
        <v>1610</v>
      </c>
      <c r="D115" s="369" t="s">
        <v>1247</v>
      </c>
      <c r="E115" s="149"/>
      <c r="F115" s="139"/>
      <c r="G115" s="366" t="s">
        <v>1563</v>
      </c>
      <c r="H115" s="368"/>
    </row>
    <row r="116" spans="1:8" ht="16.5" customHeight="1">
      <c r="A116" s="366" t="s">
        <v>1611</v>
      </c>
      <c r="B116" s="366" t="s">
        <v>1612</v>
      </c>
      <c r="C116" s="386" t="s">
        <v>1613</v>
      </c>
      <c r="D116" s="369" t="s">
        <v>1247</v>
      </c>
      <c r="E116" s="149"/>
      <c r="F116" s="139"/>
      <c r="G116" s="366" t="s">
        <v>1563</v>
      </c>
      <c r="H116" s="368"/>
    </row>
    <row r="117" spans="1:8" ht="16.5" customHeight="1">
      <c r="A117" s="366" t="s">
        <v>1614</v>
      </c>
      <c r="B117" s="366" t="s">
        <v>1615</v>
      </c>
      <c r="C117" s="386" t="s">
        <v>1616</v>
      </c>
      <c r="D117" s="367" t="s">
        <v>1247</v>
      </c>
      <c r="E117" s="149"/>
      <c r="F117" s="139"/>
      <c r="G117" s="366" t="s">
        <v>1563</v>
      </c>
      <c r="H117" s="368"/>
    </row>
    <row r="118" spans="1:8" ht="16.5" customHeight="1">
      <c r="A118" s="368" t="s">
        <v>1617</v>
      </c>
      <c r="B118" s="363" t="s">
        <v>1618</v>
      </c>
      <c r="C118" s="387" t="s">
        <v>1619</v>
      </c>
      <c r="D118" s="369" t="s">
        <v>1427</v>
      </c>
      <c r="E118" s="369"/>
      <c r="F118" s="370">
        <v>4</v>
      </c>
      <c r="G118" s="366" t="s">
        <v>1563</v>
      </c>
      <c r="H118" s="368"/>
    </row>
    <row r="119" spans="1:8" ht="16.5" customHeight="1">
      <c r="A119" s="366" t="s">
        <v>1620</v>
      </c>
      <c r="B119" s="366" t="s">
        <v>1621</v>
      </c>
      <c r="C119" s="386" t="s">
        <v>1622</v>
      </c>
      <c r="D119" s="367" t="s">
        <v>1247</v>
      </c>
      <c r="E119" s="149" t="s">
        <v>1623</v>
      </c>
      <c r="F119" s="139"/>
      <c r="G119" s="366" t="s">
        <v>1563</v>
      </c>
      <c r="H119" s="368"/>
    </row>
    <row r="120" spans="1:8" ht="16.5" customHeight="1">
      <c r="A120" s="368" t="s">
        <v>1624</v>
      </c>
      <c r="B120" s="373" t="s">
        <v>1624</v>
      </c>
      <c r="C120" s="387" t="s">
        <v>1625</v>
      </c>
      <c r="D120" s="369" t="s">
        <v>1247</v>
      </c>
      <c r="E120" s="369"/>
      <c r="F120" s="370"/>
      <c r="G120" s="366" t="s">
        <v>1563</v>
      </c>
      <c r="H120" s="368"/>
    </row>
    <row r="121" spans="1:8" ht="16.5" customHeight="1">
      <c r="A121" s="368" t="s">
        <v>1626</v>
      </c>
      <c r="B121" s="373" t="s">
        <v>1626</v>
      </c>
      <c r="C121" s="387" t="s">
        <v>1627</v>
      </c>
      <c r="D121" s="369" t="s">
        <v>1247</v>
      </c>
      <c r="E121" s="369"/>
      <c r="F121" s="370"/>
      <c r="G121" s="366" t="s">
        <v>1563</v>
      </c>
      <c r="H121" s="368"/>
    </row>
    <row r="122" spans="1:8" ht="16.5" customHeight="1">
      <c r="A122" s="366" t="s">
        <v>1628</v>
      </c>
      <c r="B122" s="243" t="s">
        <v>1629</v>
      </c>
      <c r="C122" s="386" t="s">
        <v>1630</v>
      </c>
      <c r="D122" s="367" t="s">
        <v>1247</v>
      </c>
      <c r="E122" s="149"/>
      <c r="F122" s="139"/>
      <c r="G122" s="366" t="s">
        <v>1563</v>
      </c>
      <c r="H122" s="368"/>
    </row>
    <row r="123" spans="1:8" ht="16.5" customHeight="1">
      <c r="A123" s="366" t="s">
        <v>1631</v>
      </c>
      <c r="B123" s="243" t="s">
        <v>1632</v>
      </c>
      <c r="C123" s="386" t="s">
        <v>1633</v>
      </c>
      <c r="D123" s="369" t="s">
        <v>1307</v>
      </c>
      <c r="E123" s="149"/>
      <c r="F123" s="139">
        <v>4</v>
      </c>
      <c r="G123" s="366" t="s">
        <v>1634</v>
      </c>
      <c r="H123" s="368"/>
    </row>
    <row r="124" spans="1:8" ht="16.5" customHeight="1">
      <c r="A124" s="366" t="s">
        <v>1635</v>
      </c>
      <c r="B124" s="243" t="s">
        <v>1636</v>
      </c>
      <c r="C124" s="386" t="s">
        <v>1637</v>
      </c>
      <c r="D124" s="369" t="s">
        <v>1427</v>
      </c>
      <c r="E124" s="149" t="s">
        <v>1638</v>
      </c>
      <c r="F124" s="139">
        <v>4</v>
      </c>
      <c r="G124" s="366" t="s">
        <v>1634</v>
      </c>
      <c r="H124" s="368"/>
    </row>
    <row r="125" spans="1:8" ht="16.5" customHeight="1">
      <c r="A125" s="366" t="s">
        <v>1639</v>
      </c>
      <c r="B125" s="243" t="s">
        <v>1640</v>
      </c>
      <c r="C125" s="386" t="s">
        <v>1641</v>
      </c>
      <c r="D125" s="369" t="s">
        <v>1247</v>
      </c>
      <c r="E125" s="149" t="s">
        <v>1638</v>
      </c>
      <c r="F125" s="139">
        <v>4</v>
      </c>
      <c r="G125" s="366" t="s">
        <v>1634</v>
      </c>
      <c r="H125" s="368"/>
    </row>
    <row r="126" spans="1:8" ht="16.5" customHeight="1">
      <c r="A126" s="368" t="s">
        <v>1642</v>
      </c>
      <c r="B126" s="373" t="s">
        <v>1642</v>
      </c>
      <c r="C126" s="387" t="s">
        <v>1643</v>
      </c>
      <c r="D126" s="369" t="s">
        <v>1247</v>
      </c>
      <c r="E126" s="369"/>
      <c r="F126" s="370"/>
      <c r="G126" s="366" t="s">
        <v>1644</v>
      </c>
      <c r="H126" s="368"/>
    </row>
    <row r="127" spans="1:8" ht="16.5" customHeight="1">
      <c r="A127" s="368" t="s">
        <v>1645</v>
      </c>
      <c r="B127" s="368" t="s">
        <v>1646</v>
      </c>
      <c r="C127" s="387" t="s">
        <v>1647</v>
      </c>
      <c r="D127" s="369" t="s">
        <v>1247</v>
      </c>
      <c r="E127" s="369"/>
      <c r="F127" s="370"/>
      <c r="G127" s="366" t="s">
        <v>1644</v>
      </c>
      <c r="H127" s="368"/>
    </row>
    <row r="128" spans="1:8" ht="16.5" customHeight="1">
      <c r="A128" s="368" t="s">
        <v>1648</v>
      </c>
      <c r="B128" s="243" t="s">
        <v>1649</v>
      </c>
      <c r="C128" s="387" t="s">
        <v>1576</v>
      </c>
      <c r="D128" s="149" t="s">
        <v>1650</v>
      </c>
      <c r="E128" s="149"/>
      <c r="F128" s="370">
        <v>5</v>
      </c>
      <c r="G128" s="366" t="s">
        <v>1651</v>
      </c>
      <c r="H128" s="368"/>
    </row>
    <row r="129" spans="1:8" ht="16.5" customHeight="1">
      <c r="A129" s="366" t="s">
        <v>1652</v>
      </c>
      <c r="B129" s="243" t="s">
        <v>1653</v>
      </c>
      <c r="C129" s="386" t="s">
        <v>1654</v>
      </c>
      <c r="D129" s="149" t="s">
        <v>1655</v>
      </c>
      <c r="E129" s="366" t="s">
        <v>1656</v>
      </c>
      <c r="F129" s="139">
        <v>4</v>
      </c>
      <c r="G129" s="366" t="s">
        <v>1651</v>
      </c>
      <c r="H129" s="368"/>
    </row>
    <row r="130" spans="1:8" ht="16.5" customHeight="1">
      <c r="A130" s="368" t="s">
        <v>1657</v>
      </c>
      <c r="B130" s="363" t="s">
        <v>1658</v>
      </c>
      <c r="C130" s="387" t="s">
        <v>1659</v>
      </c>
      <c r="D130" s="369" t="s">
        <v>1655</v>
      </c>
      <c r="E130" s="368" t="s">
        <v>1660</v>
      </c>
      <c r="F130" s="370">
        <v>4</v>
      </c>
      <c r="G130" s="366" t="s">
        <v>1651</v>
      </c>
      <c r="H130" s="368"/>
    </row>
    <row r="131" spans="1:8" ht="16.5" customHeight="1">
      <c r="A131" s="368" t="s">
        <v>1661</v>
      </c>
      <c r="B131" s="243" t="s">
        <v>1662</v>
      </c>
      <c r="C131" s="387" t="s">
        <v>1663</v>
      </c>
      <c r="D131" s="369" t="s">
        <v>1427</v>
      </c>
      <c r="E131" s="369" t="s">
        <v>1664</v>
      </c>
      <c r="F131" s="370">
        <v>5</v>
      </c>
      <c r="G131" s="366" t="s">
        <v>1665</v>
      </c>
      <c r="H131" s="368"/>
    </row>
    <row r="132" spans="1:8" ht="16.5" customHeight="1">
      <c r="A132" s="366" t="s">
        <v>1666</v>
      </c>
      <c r="B132" s="366" t="s">
        <v>1667</v>
      </c>
      <c r="C132" s="386" t="s">
        <v>1668</v>
      </c>
      <c r="D132" s="367" t="s">
        <v>1247</v>
      </c>
      <c r="E132" s="149" t="s">
        <v>1669</v>
      </c>
      <c r="F132" s="139"/>
      <c r="G132" s="366" t="s">
        <v>1670</v>
      </c>
      <c r="H132" s="368"/>
    </row>
    <row r="133" spans="1:8" ht="16.5" customHeight="1">
      <c r="A133" s="366" t="s">
        <v>1671</v>
      </c>
      <c r="B133" s="366" t="s">
        <v>1672</v>
      </c>
      <c r="C133" s="387" t="s">
        <v>1673</v>
      </c>
      <c r="D133" s="149" t="s">
        <v>1247</v>
      </c>
      <c r="E133" s="149"/>
      <c r="F133" s="139">
        <v>5</v>
      </c>
      <c r="G133" s="366" t="s">
        <v>1670</v>
      </c>
      <c r="H133" s="368"/>
    </row>
    <row r="134" spans="1:8" ht="16.5" customHeight="1">
      <c r="A134" s="368" t="s">
        <v>1674</v>
      </c>
      <c r="B134" s="373" t="s">
        <v>1674</v>
      </c>
      <c r="C134" s="387" t="s">
        <v>1675</v>
      </c>
      <c r="D134" s="369" t="s">
        <v>1247</v>
      </c>
      <c r="E134" s="369"/>
      <c r="F134" s="370"/>
      <c r="G134" s="368" t="s">
        <v>1676</v>
      </c>
      <c r="H134" s="368"/>
    </row>
    <row r="135" spans="1:8" ht="16.5" customHeight="1">
      <c r="A135" s="368" t="s">
        <v>1677</v>
      </c>
      <c r="B135" s="373" t="s">
        <v>1677</v>
      </c>
      <c r="C135" s="387" t="s">
        <v>1678</v>
      </c>
      <c r="D135" s="369" t="s">
        <v>1247</v>
      </c>
      <c r="E135" s="369"/>
      <c r="F135" s="370"/>
      <c r="G135" s="368" t="s">
        <v>1679</v>
      </c>
      <c r="H135" s="368"/>
    </row>
    <row r="136" spans="1:8" ht="16.5" customHeight="1">
      <c r="A136" s="368" t="s">
        <v>1680</v>
      </c>
      <c r="B136" s="368" t="s">
        <v>1681</v>
      </c>
      <c r="C136" s="387" t="s">
        <v>1682</v>
      </c>
      <c r="D136" s="369" t="s">
        <v>1247</v>
      </c>
      <c r="E136" s="369"/>
      <c r="F136" s="370"/>
      <c r="G136" s="368" t="s">
        <v>1683</v>
      </c>
      <c r="H136" s="368"/>
    </row>
    <row r="137" spans="1:8" ht="16.5" customHeight="1">
      <c r="A137" s="368" t="s">
        <v>1684</v>
      </c>
      <c r="B137" s="373" t="s">
        <v>1684</v>
      </c>
      <c r="C137" s="387" t="s">
        <v>1685</v>
      </c>
      <c r="D137" s="369" t="s">
        <v>1247</v>
      </c>
      <c r="E137" s="369"/>
      <c r="F137" s="370"/>
      <c r="G137" s="368" t="s">
        <v>1686</v>
      </c>
      <c r="H137" s="368"/>
    </row>
    <row r="138" spans="1:8" ht="16.5" customHeight="1">
      <c r="A138" s="366" t="s">
        <v>1687</v>
      </c>
      <c r="B138" s="243" t="s">
        <v>1688</v>
      </c>
      <c r="C138" s="386" t="s">
        <v>1689</v>
      </c>
      <c r="D138" s="367" t="s">
        <v>1247</v>
      </c>
      <c r="E138" s="149"/>
      <c r="F138" s="139"/>
      <c r="G138" s="366" t="s">
        <v>1690</v>
      </c>
      <c r="H138" s="368"/>
    </row>
    <row r="139" spans="1:8" ht="16.5" customHeight="1">
      <c r="A139" s="368" t="s">
        <v>1691</v>
      </c>
      <c r="B139" s="368" t="s">
        <v>1692</v>
      </c>
      <c r="C139" s="387" t="s">
        <v>1693</v>
      </c>
      <c r="D139" s="369" t="s">
        <v>1247</v>
      </c>
      <c r="E139" s="369"/>
      <c r="F139" s="370"/>
      <c r="G139" s="368" t="s">
        <v>1694</v>
      </c>
      <c r="H139" s="368"/>
    </row>
    <row r="140" spans="1:8" ht="16.5" customHeight="1">
      <c r="A140" s="368" t="s">
        <v>1695</v>
      </c>
      <c r="B140" s="373" t="s">
        <v>1695</v>
      </c>
      <c r="C140" s="387" t="s">
        <v>1696</v>
      </c>
      <c r="D140" s="369" t="s">
        <v>1247</v>
      </c>
      <c r="E140" s="369"/>
      <c r="F140" s="370"/>
      <c r="G140" s="368" t="s">
        <v>1694</v>
      </c>
      <c r="H140" s="368"/>
    </row>
    <row r="141" spans="1:8" ht="16.5" customHeight="1">
      <c r="A141" s="366" t="s">
        <v>1697</v>
      </c>
      <c r="B141" s="366" t="s">
        <v>1698</v>
      </c>
      <c r="C141" s="386" t="s">
        <v>1699</v>
      </c>
      <c r="D141" s="367" t="s">
        <v>1247</v>
      </c>
      <c r="E141" s="149"/>
      <c r="F141" s="139"/>
      <c r="G141" s="366" t="s">
        <v>1694</v>
      </c>
      <c r="H141" s="368"/>
    </row>
    <row r="142" spans="1:8" ht="16.5" customHeight="1">
      <c r="A142" s="366" t="s">
        <v>1700</v>
      </c>
      <c r="B142" s="366" t="s">
        <v>1701</v>
      </c>
      <c r="C142" s="386" t="s">
        <v>1702</v>
      </c>
      <c r="D142" s="367" t="s">
        <v>1247</v>
      </c>
      <c r="E142" s="149"/>
      <c r="F142" s="139"/>
      <c r="G142" s="366" t="s">
        <v>1694</v>
      </c>
      <c r="H142" s="368"/>
    </row>
    <row r="143" spans="1:8" ht="16.5" customHeight="1">
      <c r="A143" s="368" t="s">
        <v>1703</v>
      </c>
      <c r="B143" s="372" t="s">
        <v>1704</v>
      </c>
      <c r="C143" s="387" t="s">
        <v>1705</v>
      </c>
      <c r="D143" s="369" t="s">
        <v>1247</v>
      </c>
      <c r="E143" s="369"/>
      <c r="F143" s="370"/>
      <c r="G143" s="368" t="s">
        <v>1706</v>
      </c>
      <c r="H143" s="368"/>
    </row>
    <row r="144" spans="1:8" ht="16.5" customHeight="1">
      <c r="A144" s="368" t="s">
        <v>1707</v>
      </c>
      <c r="B144" s="368" t="s">
        <v>1708</v>
      </c>
      <c r="C144" s="387" t="s">
        <v>1709</v>
      </c>
      <c r="D144" s="369" t="s">
        <v>1247</v>
      </c>
      <c r="E144" s="369"/>
      <c r="F144" s="370"/>
      <c r="G144" s="368" t="s">
        <v>1710</v>
      </c>
      <c r="H144" s="368"/>
    </row>
    <row r="145" spans="1:8" ht="16.5" customHeight="1">
      <c r="A145" s="368" t="s">
        <v>1711</v>
      </c>
      <c r="B145" s="368" t="s">
        <v>1712</v>
      </c>
      <c r="C145" s="387" t="s">
        <v>1713</v>
      </c>
      <c r="D145" s="369" t="s">
        <v>1247</v>
      </c>
      <c r="E145" s="369"/>
      <c r="F145" s="370"/>
      <c r="G145" s="368" t="s">
        <v>1710</v>
      </c>
      <c r="H145" s="368"/>
    </row>
    <row r="146" spans="1:8" ht="16.5" customHeight="1">
      <c r="A146" s="368" t="s">
        <v>1714</v>
      </c>
      <c r="B146" s="368" t="s">
        <v>1715</v>
      </c>
      <c r="C146" s="387" t="s">
        <v>1716</v>
      </c>
      <c r="D146" s="369" t="s">
        <v>1247</v>
      </c>
      <c r="E146" s="369"/>
      <c r="F146" s="370"/>
      <c r="G146" s="368" t="s">
        <v>1710</v>
      </c>
      <c r="H146" s="368"/>
    </row>
    <row r="147" spans="1:8" ht="16.5" customHeight="1">
      <c r="A147" s="368" t="s">
        <v>1717</v>
      </c>
      <c r="B147" s="368" t="s">
        <v>1718</v>
      </c>
      <c r="C147" s="387" t="s">
        <v>1719</v>
      </c>
      <c r="D147" s="369" t="s">
        <v>1247</v>
      </c>
      <c r="E147" s="369"/>
      <c r="F147" s="370"/>
      <c r="G147" s="368" t="s">
        <v>1710</v>
      </c>
      <c r="H147" s="368"/>
    </row>
    <row r="148" spans="1:8" ht="16.5" customHeight="1">
      <c r="A148" s="368" t="s">
        <v>1720</v>
      </c>
      <c r="B148" s="373" t="s">
        <v>1720</v>
      </c>
      <c r="C148" s="387" t="s">
        <v>1721</v>
      </c>
      <c r="D148" s="369" t="s">
        <v>1247</v>
      </c>
      <c r="E148" s="369"/>
      <c r="F148" s="370"/>
      <c r="G148" s="368" t="s">
        <v>1710</v>
      </c>
      <c r="H148" s="368"/>
    </row>
    <row r="149" spans="1:8" ht="16.5" customHeight="1">
      <c r="A149" s="368" t="s">
        <v>1722</v>
      </c>
      <c r="B149" s="368" t="s">
        <v>1723</v>
      </c>
      <c r="C149" s="387" t="s">
        <v>1724</v>
      </c>
      <c r="D149" s="369" t="s">
        <v>1247</v>
      </c>
      <c r="E149" s="369"/>
      <c r="F149" s="370"/>
      <c r="G149" s="368" t="s">
        <v>1710</v>
      </c>
      <c r="H149" s="368"/>
    </row>
    <row r="150" spans="1:8" ht="16.5" customHeight="1">
      <c r="A150" s="368" t="s">
        <v>1725</v>
      </c>
      <c r="B150" s="368" t="s">
        <v>1726</v>
      </c>
      <c r="C150" s="387" t="s">
        <v>1727</v>
      </c>
      <c r="D150" s="369" t="s">
        <v>1247</v>
      </c>
      <c r="E150" s="369"/>
      <c r="F150" s="370"/>
      <c r="G150" s="368" t="s">
        <v>1710</v>
      </c>
      <c r="H150" s="368"/>
    </row>
    <row r="151" spans="1:8" ht="16.5" customHeight="1">
      <c r="A151" s="368" t="s">
        <v>1728</v>
      </c>
      <c r="B151" s="368" t="s">
        <v>1729</v>
      </c>
      <c r="C151" s="387" t="s">
        <v>1730</v>
      </c>
      <c r="D151" s="369" t="s">
        <v>1247</v>
      </c>
      <c r="E151" s="369"/>
      <c r="F151" s="370"/>
      <c r="G151" s="368" t="s">
        <v>1710</v>
      </c>
      <c r="H151" s="368"/>
    </row>
    <row r="152" spans="1:8" ht="16.5" customHeight="1">
      <c r="A152" s="368" t="s">
        <v>1731</v>
      </c>
      <c r="B152" s="368" t="s">
        <v>1732</v>
      </c>
      <c r="C152" s="387" t="s">
        <v>1733</v>
      </c>
      <c r="D152" s="369" t="s">
        <v>1247</v>
      </c>
      <c r="E152" s="369"/>
      <c r="F152" s="370"/>
      <c r="G152" s="368" t="s">
        <v>1710</v>
      </c>
      <c r="H152" s="368"/>
    </row>
    <row r="153" spans="1:8" ht="16.5" customHeight="1">
      <c r="A153" s="368" t="s">
        <v>1734</v>
      </c>
      <c r="B153" s="368" t="s">
        <v>1735</v>
      </c>
      <c r="C153" s="387" t="s">
        <v>1736</v>
      </c>
      <c r="D153" s="369" t="s">
        <v>1247</v>
      </c>
      <c r="E153" s="369"/>
      <c r="F153" s="370"/>
      <c r="G153" s="368" t="s">
        <v>1710</v>
      </c>
      <c r="H153" s="368"/>
    </row>
    <row r="154" spans="1:8" ht="16.5" customHeight="1">
      <c r="A154" s="368" t="s">
        <v>1737</v>
      </c>
      <c r="B154" s="373" t="s">
        <v>1737</v>
      </c>
      <c r="C154" s="387" t="s">
        <v>1738</v>
      </c>
      <c r="D154" s="369" t="s">
        <v>1247</v>
      </c>
      <c r="E154" s="369"/>
      <c r="F154" s="370"/>
      <c r="G154" s="368" t="s">
        <v>1739</v>
      </c>
      <c r="H154" s="368"/>
    </row>
    <row r="155" spans="1:8" ht="16.5" customHeight="1">
      <c r="A155" s="366" t="s">
        <v>1740</v>
      </c>
      <c r="B155" s="366" t="s">
        <v>1741</v>
      </c>
      <c r="C155" s="386" t="s">
        <v>1742</v>
      </c>
      <c r="D155" s="367" t="s">
        <v>1247</v>
      </c>
      <c r="E155" s="149" t="s">
        <v>1743</v>
      </c>
      <c r="F155" s="139"/>
      <c r="G155" s="366" t="s">
        <v>1744</v>
      </c>
      <c r="H155" s="368"/>
    </row>
    <row r="156" spans="1:8" ht="16.5" customHeight="1">
      <c r="A156" s="366" t="s">
        <v>1745</v>
      </c>
      <c r="B156" s="366" t="s">
        <v>1746</v>
      </c>
      <c r="C156" s="386" t="s">
        <v>1747</v>
      </c>
      <c r="D156" s="367" t="s">
        <v>1247</v>
      </c>
      <c r="E156" s="149"/>
      <c r="F156" s="139"/>
      <c r="G156" s="366" t="s">
        <v>1744</v>
      </c>
      <c r="H156" s="368"/>
    </row>
    <row r="157" spans="1:8" ht="16.5" customHeight="1">
      <c r="A157" s="368" t="s">
        <v>1748</v>
      </c>
      <c r="B157" s="368" t="s">
        <v>1749</v>
      </c>
      <c r="C157" s="387" t="s">
        <v>1750</v>
      </c>
      <c r="D157" s="369" t="s">
        <v>1307</v>
      </c>
      <c r="E157" s="369" t="s">
        <v>1347</v>
      </c>
      <c r="F157" s="370">
        <v>5</v>
      </c>
      <c r="G157" s="368" t="s">
        <v>1751</v>
      </c>
      <c r="H157" s="368"/>
    </row>
    <row r="158" spans="1:8" ht="16.5" customHeight="1">
      <c r="A158" s="368" t="s">
        <v>1752</v>
      </c>
      <c r="B158" s="368" t="s">
        <v>1753</v>
      </c>
      <c r="C158" s="387" t="s">
        <v>1754</v>
      </c>
      <c r="D158" s="369" t="s">
        <v>1247</v>
      </c>
      <c r="E158" s="369"/>
      <c r="F158" s="370"/>
      <c r="G158" s="368" t="s">
        <v>1751</v>
      </c>
      <c r="H158" s="368"/>
    </row>
    <row r="159" spans="1:8" ht="16.5" customHeight="1">
      <c r="A159" s="368" t="s">
        <v>1755</v>
      </c>
      <c r="B159" s="368" t="s">
        <v>1756</v>
      </c>
      <c r="C159" s="387" t="s">
        <v>1757</v>
      </c>
      <c r="D159" s="369" t="s">
        <v>1247</v>
      </c>
      <c r="E159" s="369"/>
      <c r="F159" s="370"/>
      <c r="G159" s="368" t="s">
        <v>1751</v>
      </c>
      <c r="H159" s="368"/>
    </row>
    <row r="160" spans="1:8" ht="16.5" customHeight="1">
      <c r="A160" s="368" t="s">
        <v>1758</v>
      </c>
      <c r="B160" s="368" t="s">
        <v>1759</v>
      </c>
      <c r="C160" s="387" t="s">
        <v>1760</v>
      </c>
      <c r="D160" s="369" t="s">
        <v>1247</v>
      </c>
      <c r="E160" s="369"/>
      <c r="F160" s="370"/>
      <c r="G160" s="368" t="s">
        <v>1761</v>
      </c>
      <c r="H160" s="368"/>
    </row>
    <row r="161" spans="1:8" ht="16.5" customHeight="1">
      <c r="A161" s="366" t="s">
        <v>1762</v>
      </c>
      <c r="B161" s="243" t="s">
        <v>1763</v>
      </c>
      <c r="C161" s="386" t="s">
        <v>1764</v>
      </c>
      <c r="D161" s="369" t="s">
        <v>1307</v>
      </c>
      <c r="E161" s="369" t="s">
        <v>1765</v>
      </c>
      <c r="F161" s="139">
        <v>4</v>
      </c>
      <c r="G161" s="366" t="s">
        <v>1766</v>
      </c>
      <c r="H161" s="368"/>
    </row>
    <row r="162" spans="1:8" ht="16.5" customHeight="1">
      <c r="A162" s="368" t="s">
        <v>1767</v>
      </c>
      <c r="B162" s="371" t="s">
        <v>1768</v>
      </c>
      <c r="C162" s="391" t="s">
        <v>1769</v>
      </c>
      <c r="D162" s="369" t="s">
        <v>1307</v>
      </c>
      <c r="E162" s="369" t="s">
        <v>1770</v>
      </c>
      <c r="F162" s="377">
        <v>5</v>
      </c>
      <c r="G162" s="368" t="s">
        <v>1771</v>
      </c>
      <c r="H162" s="368"/>
    </row>
    <row r="163" spans="1:8" ht="16.5" customHeight="1">
      <c r="A163" s="368" t="s">
        <v>1772</v>
      </c>
      <c r="B163" s="368" t="s">
        <v>1773</v>
      </c>
      <c r="C163" s="387" t="s">
        <v>1774</v>
      </c>
      <c r="D163" s="369" t="s">
        <v>1247</v>
      </c>
      <c r="E163" s="369"/>
      <c r="F163" s="370">
        <v>4</v>
      </c>
      <c r="G163" s="368" t="s">
        <v>1775</v>
      </c>
      <c r="H163" s="368"/>
    </row>
    <row r="164" spans="1:8" ht="16.5" customHeight="1">
      <c r="A164" s="368" t="s">
        <v>1776</v>
      </c>
      <c r="B164" s="371" t="s">
        <v>1777</v>
      </c>
      <c r="C164" s="387" t="s">
        <v>1778</v>
      </c>
      <c r="D164" s="369" t="s">
        <v>1247</v>
      </c>
      <c r="E164" s="369"/>
      <c r="F164" s="370">
        <v>5</v>
      </c>
      <c r="G164" s="368" t="s">
        <v>1775</v>
      </c>
      <c r="H164" s="368"/>
    </row>
    <row r="165" spans="1:8" ht="16.5" customHeight="1">
      <c r="A165" s="368" t="s">
        <v>1779</v>
      </c>
      <c r="B165" s="368" t="s">
        <v>1780</v>
      </c>
      <c r="C165" s="387" t="s">
        <v>1781</v>
      </c>
      <c r="D165" s="369" t="s">
        <v>1247</v>
      </c>
      <c r="E165" s="369"/>
      <c r="F165" s="370">
        <v>4</v>
      </c>
      <c r="G165" s="368" t="s">
        <v>1775</v>
      </c>
      <c r="H165" s="368"/>
    </row>
    <row r="166" spans="1:8" ht="16.5" customHeight="1">
      <c r="A166" s="368" t="s">
        <v>1782</v>
      </c>
      <c r="B166" s="368" t="s">
        <v>1783</v>
      </c>
      <c r="C166" s="387" t="s">
        <v>1784</v>
      </c>
      <c r="D166" s="369" t="s">
        <v>1247</v>
      </c>
      <c r="E166" s="369"/>
      <c r="F166" s="370">
        <v>4</v>
      </c>
      <c r="G166" s="368" t="s">
        <v>1775</v>
      </c>
      <c r="H166" s="368"/>
    </row>
    <row r="167" spans="1:8" ht="16.5" customHeight="1">
      <c r="A167" s="368" t="s">
        <v>1785</v>
      </c>
      <c r="B167" s="373" t="s">
        <v>1785</v>
      </c>
      <c r="C167" s="387" t="s">
        <v>1786</v>
      </c>
      <c r="D167" s="369" t="s">
        <v>1247</v>
      </c>
      <c r="E167" s="369"/>
      <c r="F167" s="370"/>
      <c r="G167" s="368" t="s">
        <v>1787</v>
      </c>
      <c r="H167" s="368"/>
    </row>
    <row r="168" spans="1:8" ht="16.5" customHeight="1">
      <c r="A168" s="368" t="s">
        <v>1788</v>
      </c>
      <c r="B168" s="373" t="s">
        <v>1788</v>
      </c>
      <c r="C168" s="387" t="s">
        <v>1789</v>
      </c>
      <c r="D168" s="369" t="s">
        <v>1247</v>
      </c>
      <c r="E168" s="369"/>
      <c r="F168" s="370"/>
      <c r="G168" s="368" t="s">
        <v>1787</v>
      </c>
      <c r="H168" s="368"/>
    </row>
    <row r="169" spans="1:8" ht="16.5" customHeight="1">
      <c r="A169" s="368" t="s">
        <v>1790</v>
      </c>
      <c r="B169" s="368" t="s">
        <v>1791</v>
      </c>
      <c r="C169" s="387" t="s">
        <v>1792</v>
      </c>
      <c r="D169" s="369" t="s">
        <v>1247</v>
      </c>
      <c r="E169" s="369"/>
      <c r="F169" s="370"/>
      <c r="G169" s="368" t="s">
        <v>1793</v>
      </c>
      <c r="H169" s="368"/>
    </row>
    <row r="170" spans="1:8" ht="16.5" customHeight="1">
      <c r="A170" s="368" t="s">
        <v>1794</v>
      </c>
      <c r="B170" s="368" t="s">
        <v>1795</v>
      </c>
      <c r="C170" s="387" t="s">
        <v>1796</v>
      </c>
      <c r="D170" s="369" t="s">
        <v>1247</v>
      </c>
      <c r="E170" s="369"/>
      <c r="F170" s="370"/>
      <c r="G170" s="368" t="s">
        <v>1797</v>
      </c>
      <c r="H170" s="368"/>
    </row>
    <row r="171" spans="1:8" ht="16.5" customHeight="1">
      <c r="A171" s="366" t="s">
        <v>1798</v>
      </c>
      <c r="B171" s="366" t="s">
        <v>1799</v>
      </c>
      <c r="C171" s="386" t="s">
        <v>1800</v>
      </c>
      <c r="D171" s="367" t="s">
        <v>1247</v>
      </c>
      <c r="E171" s="149"/>
      <c r="F171" s="139"/>
      <c r="G171" s="366" t="s">
        <v>1801</v>
      </c>
      <c r="H171" s="368"/>
    </row>
    <row r="172" spans="1:8" ht="16.5" customHeight="1">
      <c r="A172" s="368" t="s">
        <v>1802</v>
      </c>
      <c r="B172" s="373" t="s">
        <v>1802</v>
      </c>
      <c r="C172" s="387" t="s">
        <v>1803</v>
      </c>
      <c r="D172" s="369" t="s">
        <v>1247</v>
      </c>
      <c r="E172" s="369"/>
      <c r="F172" s="370"/>
      <c r="G172" s="368" t="s">
        <v>1804</v>
      </c>
      <c r="H172" s="368"/>
    </row>
    <row r="173" spans="1:8" ht="16.5" customHeight="1">
      <c r="A173" s="368" t="s">
        <v>1805</v>
      </c>
      <c r="B173" s="363" t="s">
        <v>1806</v>
      </c>
      <c r="C173" s="387" t="s">
        <v>1807</v>
      </c>
      <c r="D173" s="369" t="s">
        <v>1247</v>
      </c>
      <c r="E173" s="369"/>
      <c r="F173" s="370">
        <v>3</v>
      </c>
      <c r="G173" s="368" t="s">
        <v>1804</v>
      </c>
      <c r="H173" s="368"/>
    </row>
    <row r="174" spans="1:8" ht="16.5" customHeight="1">
      <c r="A174" s="366" t="s">
        <v>1808</v>
      </c>
      <c r="B174" s="243" t="s">
        <v>1809</v>
      </c>
      <c r="C174" s="386" t="s">
        <v>1810</v>
      </c>
      <c r="D174" s="367" t="s">
        <v>1247</v>
      </c>
      <c r="E174" s="149" t="s">
        <v>1811</v>
      </c>
      <c r="F174" s="139"/>
      <c r="G174" s="366" t="s">
        <v>1804</v>
      </c>
      <c r="H174" s="368"/>
    </row>
    <row r="175" spans="1:8" ht="16.5" customHeight="1">
      <c r="A175" s="366" t="s">
        <v>1812</v>
      </c>
      <c r="B175" s="366" t="s">
        <v>1813</v>
      </c>
      <c r="C175" s="386" t="s">
        <v>1814</v>
      </c>
      <c r="D175" s="367" t="s">
        <v>1427</v>
      </c>
      <c r="E175" s="149"/>
      <c r="F175" s="139">
        <v>5</v>
      </c>
      <c r="G175" s="366" t="s">
        <v>1815</v>
      </c>
      <c r="H175" s="368"/>
    </row>
    <row r="176" spans="1:8" ht="16.5" customHeight="1">
      <c r="A176" s="368" t="s">
        <v>1816</v>
      </c>
      <c r="B176" s="373" t="s">
        <v>1816</v>
      </c>
      <c r="C176" s="387" t="s">
        <v>1817</v>
      </c>
      <c r="D176" s="369" t="s">
        <v>1247</v>
      </c>
      <c r="E176" s="369"/>
      <c r="F176" s="370"/>
      <c r="G176" s="368" t="s">
        <v>1818</v>
      </c>
      <c r="H176" s="368"/>
    </row>
    <row r="177" spans="1:8" ht="16.5" customHeight="1">
      <c r="A177" s="368" t="s">
        <v>1819</v>
      </c>
      <c r="B177" s="363" t="s">
        <v>1820</v>
      </c>
      <c r="C177" s="392" t="s">
        <v>1821</v>
      </c>
      <c r="D177" s="369" t="s">
        <v>1247</v>
      </c>
      <c r="E177" s="369"/>
      <c r="F177" s="376">
        <v>4</v>
      </c>
      <c r="G177" s="368" t="s">
        <v>1822</v>
      </c>
      <c r="H177" s="368"/>
    </row>
    <row r="178" spans="1:8" ht="16.5" customHeight="1">
      <c r="A178" s="368" t="s">
        <v>1823</v>
      </c>
      <c r="B178" s="363" t="s">
        <v>1824</v>
      </c>
      <c r="C178" s="390" t="s">
        <v>1825</v>
      </c>
      <c r="D178" s="369" t="s">
        <v>1247</v>
      </c>
      <c r="E178" s="369"/>
      <c r="F178" s="376">
        <v>3</v>
      </c>
      <c r="G178" s="368" t="s">
        <v>1822</v>
      </c>
      <c r="H178" s="368"/>
    </row>
    <row r="179" spans="1:8" ht="16.5" customHeight="1">
      <c r="A179" s="368" t="s">
        <v>1826</v>
      </c>
      <c r="B179" s="363" t="s">
        <v>1827</v>
      </c>
      <c r="C179" s="387" t="s">
        <v>1828</v>
      </c>
      <c r="D179" s="369" t="s">
        <v>1247</v>
      </c>
      <c r="E179" s="369"/>
      <c r="F179" s="370">
        <v>3</v>
      </c>
      <c r="G179" s="368" t="s">
        <v>1829</v>
      </c>
      <c r="H179" s="368"/>
    </row>
    <row r="180" spans="1:8" ht="16.5" customHeight="1">
      <c r="A180" s="368" t="s">
        <v>1830</v>
      </c>
      <c r="B180" s="372" t="s">
        <v>1831</v>
      </c>
      <c r="C180" s="387" t="s">
        <v>1832</v>
      </c>
      <c r="D180" s="369" t="s">
        <v>1247</v>
      </c>
      <c r="E180" s="369"/>
      <c r="F180" s="370">
        <v>3</v>
      </c>
      <c r="G180" s="368" t="s">
        <v>1833</v>
      </c>
      <c r="H180" s="368"/>
    </row>
    <row r="181" spans="1:8" ht="16.5" customHeight="1">
      <c r="A181" s="368" t="s">
        <v>1834</v>
      </c>
      <c r="B181" s="373" t="s">
        <v>1835</v>
      </c>
      <c r="C181" s="387" t="s">
        <v>1836</v>
      </c>
      <c r="D181" s="369" t="s">
        <v>1247</v>
      </c>
      <c r="E181" s="369"/>
      <c r="F181" s="370"/>
      <c r="G181" s="368" t="s">
        <v>1833</v>
      </c>
      <c r="H181" s="368"/>
    </row>
    <row r="182" spans="1:8" ht="16.5" customHeight="1">
      <c r="A182" s="368" t="s">
        <v>1837</v>
      </c>
      <c r="B182" s="368" t="s">
        <v>1838</v>
      </c>
      <c r="C182" s="387" t="s">
        <v>1839</v>
      </c>
      <c r="D182" s="369" t="s">
        <v>1247</v>
      </c>
      <c r="E182" s="369"/>
      <c r="F182" s="370"/>
      <c r="G182" s="368" t="s">
        <v>1840</v>
      </c>
      <c r="H182" s="368"/>
    </row>
    <row r="183" spans="1:8" ht="16.5" customHeight="1">
      <c r="A183" s="368" t="s">
        <v>1841</v>
      </c>
      <c r="B183" s="368" t="s">
        <v>1842</v>
      </c>
      <c r="C183" s="387" t="s">
        <v>1843</v>
      </c>
      <c r="D183" s="369" t="s">
        <v>1247</v>
      </c>
      <c r="E183" s="369"/>
      <c r="F183" s="370"/>
      <c r="G183" s="368" t="s">
        <v>1844</v>
      </c>
      <c r="H183" s="368"/>
    </row>
    <row r="184" spans="1:8" ht="16.5" customHeight="1">
      <c r="A184" s="366" t="s">
        <v>1845</v>
      </c>
      <c r="B184" s="243" t="s">
        <v>1846</v>
      </c>
      <c r="C184" s="386" t="s">
        <v>1847</v>
      </c>
      <c r="D184" s="367" t="s">
        <v>1247</v>
      </c>
      <c r="E184" s="149"/>
      <c r="F184" s="139"/>
      <c r="G184" s="366" t="s">
        <v>1848</v>
      </c>
      <c r="H184" s="368"/>
    </row>
    <row r="185" spans="1:8" ht="16.5" customHeight="1">
      <c r="A185" s="366" t="s">
        <v>1849</v>
      </c>
      <c r="B185" s="366" t="s">
        <v>1850</v>
      </c>
      <c r="C185" s="386" t="s">
        <v>1851</v>
      </c>
      <c r="D185" s="369" t="s">
        <v>1247</v>
      </c>
      <c r="E185" s="149"/>
      <c r="F185" s="139"/>
      <c r="G185" s="366" t="s">
        <v>1852</v>
      </c>
      <c r="H185" s="368"/>
    </row>
    <row r="186" spans="1:8" ht="16.5" customHeight="1">
      <c r="A186" s="368" t="s">
        <v>1853</v>
      </c>
      <c r="B186" s="371" t="s">
        <v>1854</v>
      </c>
      <c r="C186" s="387" t="s">
        <v>1855</v>
      </c>
      <c r="D186" s="369" t="s">
        <v>1247</v>
      </c>
      <c r="E186" s="369"/>
      <c r="F186" s="370">
        <v>2</v>
      </c>
      <c r="G186" s="368" t="s">
        <v>1856</v>
      </c>
      <c r="H186" s="368"/>
    </row>
    <row r="187" spans="1:8" ht="16.5" customHeight="1">
      <c r="A187" s="366" t="s">
        <v>1857</v>
      </c>
      <c r="B187" s="366" t="s">
        <v>1858</v>
      </c>
      <c r="C187" s="386" t="s">
        <v>1859</v>
      </c>
      <c r="D187" s="367" t="s">
        <v>1247</v>
      </c>
      <c r="E187" s="378" t="s">
        <v>1860</v>
      </c>
      <c r="F187" s="139"/>
      <c r="G187" s="366" t="s">
        <v>1861</v>
      </c>
      <c r="H187" s="366"/>
    </row>
    <row r="188" spans="1:8" ht="16.5" customHeight="1">
      <c r="A188" s="368" t="s">
        <v>1862</v>
      </c>
      <c r="B188" s="368" t="s">
        <v>1863</v>
      </c>
      <c r="C188" s="387" t="s">
        <v>1864</v>
      </c>
      <c r="D188" s="369" t="s">
        <v>1247</v>
      </c>
      <c r="E188" s="369"/>
      <c r="F188" s="370"/>
      <c r="G188" s="368" t="s">
        <v>1865</v>
      </c>
      <c r="H188" s="366"/>
    </row>
    <row r="189" spans="1:8" ht="16.5" customHeight="1">
      <c r="A189" s="368" t="s">
        <v>1866</v>
      </c>
      <c r="B189" s="368" t="s">
        <v>1867</v>
      </c>
      <c r="C189" s="387" t="s">
        <v>1868</v>
      </c>
      <c r="D189" s="369" t="s">
        <v>1247</v>
      </c>
      <c r="E189" s="369"/>
      <c r="F189" s="370"/>
      <c r="G189" s="368" t="s">
        <v>1869</v>
      </c>
      <c r="H189" s="368"/>
    </row>
    <row r="190" spans="1:8" ht="16.5" customHeight="1">
      <c r="A190" s="368" t="s">
        <v>1870</v>
      </c>
      <c r="B190" s="368" t="s">
        <v>1871</v>
      </c>
      <c r="C190" s="387" t="s">
        <v>1872</v>
      </c>
      <c r="D190" s="369" t="s">
        <v>1247</v>
      </c>
      <c r="E190" s="369"/>
      <c r="F190" s="370"/>
      <c r="G190" s="368" t="s">
        <v>1873</v>
      </c>
      <c r="H190" s="368"/>
    </row>
    <row r="191" spans="1:8" ht="16.5" customHeight="1">
      <c r="A191" s="368" t="s">
        <v>1874</v>
      </c>
      <c r="B191" s="379" t="s">
        <v>1875</v>
      </c>
      <c r="C191" s="390" t="s">
        <v>1876</v>
      </c>
      <c r="D191" s="369" t="s">
        <v>1247</v>
      </c>
      <c r="E191" s="369"/>
      <c r="F191" s="376">
        <v>3</v>
      </c>
      <c r="G191" s="368" t="s">
        <v>1873</v>
      </c>
      <c r="H191" s="368"/>
    </row>
    <row r="192" spans="1:8" ht="16.5" customHeight="1">
      <c r="A192" s="368" t="s">
        <v>1877</v>
      </c>
      <c r="B192" s="373" t="s">
        <v>1877</v>
      </c>
      <c r="C192" s="387" t="s">
        <v>1878</v>
      </c>
      <c r="D192" s="369" t="s">
        <v>1247</v>
      </c>
      <c r="E192" s="369"/>
      <c r="F192" s="370"/>
      <c r="G192" s="368" t="s">
        <v>1873</v>
      </c>
      <c r="H192" s="368"/>
    </row>
    <row r="193" spans="1:8" ht="16.5" customHeight="1">
      <c r="A193" s="368" t="s">
        <v>1879</v>
      </c>
      <c r="B193" s="373" t="s">
        <v>1879</v>
      </c>
      <c r="C193" s="387" t="s">
        <v>1880</v>
      </c>
      <c r="D193" s="369" t="s">
        <v>1247</v>
      </c>
      <c r="E193" s="369"/>
      <c r="F193" s="370"/>
      <c r="G193" s="368" t="s">
        <v>1881</v>
      </c>
      <c r="H193" s="368"/>
    </row>
    <row r="194" spans="1:8" ht="16.5" customHeight="1">
      <c r="A194" s="368" t="s">
        <v>1882</v>
      </c>
      <c r="B194" s="372" t="s">
        <v>1883</v>
      </c>
      <c r="C194" s="387" t="s">
        <v>1884</v>
      </c>
      <c r="D194" s="369" t="s">
        <v>1427</v>
      </c>
      <c r="E194" s="369"/>
      <c r="F194" s="370">
        <v>4</v>
      </c>
      <c r="G194" s="368" t="s">
        <v>1881</v>
      </c>
      <c r="H194" s="368"/>
    </row>
    <row r="195" spans="1:8" ht="16.5" customHeight="1">
      <c r="A195" s="368" t="s">
        <v>1885</v>
      </c>
      <c r="B195" s="379" t="s">
        <v>1886</v>
      </c>
      <c r="C195" s="387" t="s">
        <v>1887</v>
      </c>
      <c r="D195" s="369" t="s">
        <v>1319</v>
      </c>
      <c r="E195" s="368" t="s">
        <v>1888</v>
      </c>
      <c r="F195" s="370">
        <v>4</v>
      </c>
      <c r="G195" s="368" t="s">
        <v>1881</v>
      </c>
      <c r="H195" s="368"/>
    </row>
    <row r="196" spans="1:8" ht="16.5" customHeight="1">
      <c r="A196" s="368" t="s">
        <v>1889</v>
      </c>
      <c r="B196" s="368" t="s">
        <v>1890</v>
      </c>
      <c r="C196" s="387" t="s">
        <v>1891</v>
      </c>
      <c r="D196" s="369" t="s">
        <v>1247</v>
      </c>
      <c r="E196" s="369"/>
      <c r="F196" s="370"/>
      <c r="G196" s="368" t="s">
        <v>1881</v>
      </c>
      <c r="H196" s="368"/>
    </row>
    <row r="197" spans="1:8" ht="16.5" customHeight="1">
      <c r="A197" s="368" t="s">
        <v>1892</v>
      </c>
      <c r="B197" s="373" t="s">
        <v>1892</v>
      </c>
      <c r="C197" s="387" t="s">
        <v>1893</v>
      </c>
      <c r="D197" s="369" t="s">
        <v>1247</v>
      </c>
      <c r="E197" s="369"/>
      <c r="F197" s="370"/>
      <c r="G197" s="368" t="s">
        <v>1881</v>
      </c>
      <c r="H197" s="368"/>
    </row>
    <row r="198" spans="1:8" ht="16.5" customHeight="1">
      <c r="A198" s="368" t="s">
        <v>1894</v>
      </c>
      <c r="B198" s="368" t="s">
        <v>1895</v>
      </c>
      <c r="C198" s="387" t="s">
        <v>1896</v>
      </c>
      <c r="D198" s="369" t="s">
        <v>1247</v>
      </c>
      <c r="E198" s="369"/>
      <c r="F198" s="370"/>
      <c r="G198" s="368" t="s">
        <v>1881</v>
      </c>
      <c r="H198" s="368"/>
    </row>
    <row r="199" spans="1:8" ht="16.5" customHeight="1">
      <c r="A199" s="373" t="s">
        <v>1897</v>
      </c>
      <c r="B199" s="363" t="s">
        <v>1898</v>
      </c>
      <c r="C199" s="387" t="s">
        <v>1899</v>
      </c>
      <c r="D199" s="369" t="s">
        <v>1319</v>
      </c>
      <c r="E199" s="369"/>
      <c r="F199" s="370">
        <v>5</v>
      </c>
      <c r="G199" s="368" t="s">
        <v>1881</v>
      </c>
      <c r="H199" s="368"/>
    </row>
    <row r="200" spans="1:8" ht="16.5" customHeight="1">
      <c r="A200" s="368" t="s">
        <v>1900</v>
      </c>
      <c r="B200" s="373" t="s">
        <v>1900</v>
      </c>
      <c r="C200" s="387" t="s">
        <v>1901</v>
      </c>
      <c r="D200" s="369" t="s">
        <v>1247</v>
      </c>
      <c r="E200" s="369"/>
      <c r="F200" s="370"/>
      <c r="G200" s="368" t="s">
        <v>1881</v>
      </c>
      <c r="H200" s="368"/>
    </row>
    <row r="201" spans="1:8" ht="16.5" customHeight="1">
      <c r="A201" s="368" t="s">
        <v>1902</v>
      </c>
      <c r="B201" s="368" t="s">
        <v>1903</v>
      </c>
      <c r="C201" s="387" t="s">
        <v>1904</v>
      </c>
      <c r="D201" s="369" t="s">
        <v>1247</v>
      </c>
      <c r="E201" s="369"/>
      <c r="F201" s="370">
        <v>3</v>
      </c>
      <c r="G201" s="368" t="s">
        <v>1881</v>
      </c>
      <c r="H201" s="368"/>
    </row>
    <row r="202" spans="1:8" ht="16.5" customHeight="1">
      <c r="A202" s="368" t="s">
        <v>1905</v>
      </c>
      <c r="B202" s="363" t="s">
        <v>1906</v>
      </c>
      <c r="C202" s="387" t="s">
        <v>1907</v>
      </c>
      <c r="D202" s="369" t="s">
        <v>1247</v>
      </c>
      <c r="E202" s="369"/>
      <c r="F202" s="370"/>
      <c r="G202" s="368" t="s">
        <v>1881</v>
      </c>
      <c r="H202" s="368"/>
    </row>
    <row r="203" spans="1:8" ht="16.5" customHeight="1">
      <c r="A203" s="368" t="s">
        <v>1908</v>
      </c>
      <c r="B203" s="373" t="s">
        <v>1908</v>
      </c>
      <c r="C203" s="387" t="s">
        <v>1909</v>
      </c>
      <c r="D203" s="369" t="s">
        <v>1247</v>
      </c>
      <c r="E203" s="369"/>
      <c r="F203" s="370"/>
      <c r="G203" s="368" t="s">
        <v>1881</v>
      </c>
      <c r="H203" s="368"/>
    </row>
    <row r="204" spans="1:8" ht="16.5" customHeight="1">
      <c r="A204" s="373" t="s">
        <v>1910</v>
      </c>
      <c r="B204" s="371" t="s">
        <v>1911</v>
      </c>
      <c r="C204" s="387" t="s">
        <v>1912</v>
      </c>
      <c r="D204" s="369" t="s">
        <v>1247</v>
      </c>
      <c r="E204" s="369"/>
      <c r="F204" s="370">
        <v>5</v>
      </c>
      <c r="G204" s="368" t="s">
        <v>1881</v>
      </c>
      <c r="H204" s="368"/>
    </row>
    <row r="205" spans="1:8" ht="16.5" customHeight="1">
      <c r="A205" s="368" t="s">
        <v>1913</v>
      </c>
      <c r="B205" s="368" t="s">
        <v>1914</v>
      </c>
      <c r="C205" s="387" t="s">
        <v>1915</v>
      </c>
      <c r="D205" s="369" t="s">
        <v>1247</v>
      </c>
      <c r="E205" s="369"/>
      <c r="F205" s="370"/>
      <c r="G205" s="368" t="s">
        <v>1881</v>
      </c>
      <c r="H205" s="368"/>
    </row>
    <row r="206" spans="1:8" ht="16.5" customHeight="1">
      <c r="A206" s="366" t="s">
        <v>1916</v>
      </c>
      <c r="B206" s="366" t="s">
        <v>1917</v>
      </c>
      <c r="C206" s="386" t="s">
        <v>1918</v>
      </c>
      <c r="D206" s="367" t="s">
        <v>1247</v>
      </c>
      <c r="E206" s="149"/>
      <c r="F206" s="139"/>
      <c r="G206" s="368" t="s">
        <v>1881</v>
      </c>
      <c r="H206" s="368"/>
    </row>
    <row r="207" spans="1:8" ht="16.5" customHeight="1">
      <c r="A207" s="368" t="s">
        <v>1919</v>
      </c>
      <c r="B207" s="363" t="s">
        <v>1919</v>
      </c>
      <c r="C207" s="391" t="s">
        <v>1920</v>
      </c>
      <c r="D207" s="369" t="s">
        <v>1247</v>
      </c>
      <c r="E207" s="369"/>
      <c r="F207" s="370"/>
      <c r="G207" s="368" t="s">
        <v>1881</v>
      </c>
      <c r="H207" s="368"/>
    </row>
    <row r="208" spans="1:8" ht="16.5" customHeight="1">
      <c r="A208" s="368" t="s">
        <v>1921</v>
      </c>
      <c r="B208" s="373" t="s">
        <v>1921</v>
      </c>
      <c r="C208" s="387" t="s">
        <v>1922</v>
      </c>
      <c r="D208" s="369" t="s">
        <v>1247</v>
      </c>
      <c r="E208" s="369"/>
      <c r="F208" s="370"/>
      <c r="G208" s="368" t="s">
        <v>1923</v>
      </c>
      <c r="H208" s="368"/>
    </row>
    <row r="209" spans="1:8" ht="16.5" customHeight="1">
      <c r="A209" s="368" t="s">
        <v>1924</v>
      </c>
      <c r="B209" s="373" t="s">
        <v>1924</v>
      </c>
      <c r="C209" s="387" t="s">
        <v>1925</v>
      </c>
      <c r="D209" s="369" t="s">
        <v>1247</v>
      </c>
      <c r="E209" s="369"/>
      <c r="F209" s="370"/>
      <c r="G209" s="368" t="s">
        <v>1923</v>
      </c>
      <c r="H209" s="368"/>
    </row>
    <row r="210" spans="1:8" ht="16.5" customHeight="1">
      <c r="A210" s="368" t="s">
        <v>1926</v>
      </c>
      <c r="B210" s="373" t="s">
        <v>1926</v>
      </c>
      <c r="C210" s="387" t="s">
        <v>1927</v>
      </c>
      <c r="D210" s="369" t="s">
        <v>1247</v>
      </c>
      <c r="E210" s="369"/>
      <c r="F210" s="370"/>
      <c r="G210" s="368" t="s">
        <v>1928</v>
      </c>
      <c r="H210" s="368"/>
    </row>
    <row r="211" spans="1:8" ht="16.5" customHeight="1">
      <c r="A211" s="368" t="s">
        <v>1929</v>
      </c>
      <c r="B211" s="371" t="s">
        <v>1930</v>
      </c>
      <c r="C211" s="387" t="s">
        <v>1931</v>
      </c>
      <c r="D211" s="369" t="s">
        <v>1247</v>
      </c>
      <c r="E211" s="369"/>
      <c r="F211" s="370">
        <v>3</v>
      </c>
      <c r="G211" s="368" t="s">
        <v>1932</v>
      </c>
      <c r="H211" s="368"/>
    </row>
    <row r="212" spans="1:8" ht="16.5" customHeight="1">
      <c r="A212" s="368" t="s">
        <v>1933</v>
      </c>
      <c r="B212" s="368" t="s">
        <v>1934</v>
      </c>
      <c r="C212" s="387" t="s">
        <v>1935</v>
      </c>
      <c r="D212" s="369" t="s">
        <v>1247</v>
      </c>
      <c r="E212" s="369"/>
      <c r="F212" s="370">
        <v>3</v>
      </c>
      <c r="G212" s="368" t="s">
        <v>1932</v>
      </c>
      <c r="H212" s="368"/>
    </row>
    <row r="213" spans="1:8" ht="16.5" customHeight="1">
      <c r="A213" s="368" t="s">
        <v>1936</v>
      </c>
      <c r="B213" s="368" t="s">
        <v>1937</v>
      </c>
      <c r="C213" s="387" t="s">
        <v>1938</v>
      </c>
      <c r="D213" s="369" t="s">
        <v>1247</v>
      </c>
      <c r="E213" s="369"/>
      <c r="F213" s="370">
        <v>3</v>
      </c>
      <c r="G213" s="368" t="s">
        <v>1932</v>
      </c>
      <c r="H213" s="368"/>
    </row>
    <row r="214" spans="1:8" ht="16.5" customHeight="1">
      <c r="A214" s="368" t="s">
        <v>1939</v>
      </c>
      <c r="B214" s="363" t="s">
        <v>1940</v>
      </c>
      <c r="C214" s="390" t="s">
        <v>1941</v>
      </c>
      <c r="D214" s="369" t="s">
        <v>1247</v>
      </c>
      <c r="E214" s="369"/>
      <c r="F214" s="370"/>
      <c r="G214" s="368" t="s">
        <v>1942</v>
      </c>
      <c r="H214" s="368"/>
    </row>
    <row r="215" spans="1:8" ht="16.5" customHeight="1">
      <c r="A215" s="368" t="s">
        <v>1943</v>
      </c>
      <c r="B215" s="372" t="s">
        <v>1944</v>
      </c>
      <c r="C215" s="387" t="s">
        <v>1945</v>
      </c>
      <c r="D215" s="369" t="s">
        <v>1946</v>
      </c>
      <c r="E215" s="369" t="s">
        <v>1947</v>
      </c>
      <c r="F215" s="370">
        <v>3</v>
      </c>
      <c r="G215" s="368" t="s">
        <v>1942</v>
      </c>
      <c r="H215" s="368"/>
    </row>
    <row r="216" spans="1:8" ht="16.5" customHeight="1">
      <c r="A216" s="368" t="s">
        <v>1948</v>
      </c>
      <c r="B216" s="363" t="s">
        <v>1949</v>
      </c>
      <c r="C216" s="387" t="s">
        <v>1950</v>
      </c>
      <c r="D216" s="369" t="s">
        <v>1319</v>
      </c>
      <c r="E216" s="369"/>
      <c r="F216" s="370">
        <v>5</v>
      </c>
      <c r="G216" s="368" t="s">
        <v>1942</v>
      </c>
      <c r="H216" s="368"/>
    </row>
    <row r="217" spans="1:8" ht="16.5" customHeight="1">
      <c r="A217" s="366" t="s">
        <v>1951</v>
      </c>
      <c r="B217" s="366" t="s">
        <v>1952</v>
      </c>
      <c r="C217" s="386" t="s">
        <v>1953</v>
      </c>
      <c r="D217" s="149" t="s">
        <v>1247</v>
      </c>
      <c r="E217" s="149"/>
      <c r="F217" s="139"/>
      <c r="G217" s="368" t="s">
        <v>1942</v>
      </c>
      <c r="H217" s="368"/>
    </row>
    <row r="218" spans="1:8" ht="16.5" customHeight="1">
      <c r="A218" s="366" t="s">
        <v>1954</v>
      </c>
      <c r="B218" s="366" t="s">
        <v>1955</v>
      </c>
      <c r="C218" s="386" t="s">
        <v>1956</v>
      </c>
      <c r="D218" s="149" t="s">
        <v>1247</v>
      </c>
      <c r="E218" s="149"/>
      <c r="F218" s="139"/>
      <c r="G218" s="368" t="s">
        <v>1942</v>
      </c>
      <c r="H218" s="368"/>
    </row>
    <row r="219" spans="1:8" ht="16.5" customHeight="1">
      <c r="A219" s="368" t="s">
        <v>1957</v>
      </c>
      <c r="B219" s="368" t="s">
        <v>1958</v>
      </c>
      <c r="C219" s="387" t="s">
        <v>1959</v>
      </c>
      <c r="D219" s="369" t="s">
        <v>1247</v>
      </c>
      <c r="E219" s="369"/>
      <c r="F219" s="370"/>
      <c r="G219" s="368" t="s">
        <v>1960</v>
      </c>
      <c r="H219" s="368"/>
    </row>
    <row r="220" spans="1:8" ht="16.5" customHeight="1">
      <c r="A220" s="368" t="s">
        <v>1961</v>
      </c>
      <c r="B220" s="371" t="s">
        <v>1962</v>
      </c>
      <c r="C220" s="387" t="s">
        <v>1963</v>
      </c>
      <c r="D220" s="369" t="s">
        <v>1247</v>
      </c>
      <c r="E220" s="369"/>
      <c r="F220" s="370">
        <v>4</v>
      </c>
      <c r="G220" s="368" t="s">
        <v>1960</v>
      </c>
      <c r="H220" s="368"/>
    </row>
    <row r="221" spans="1:8" ht="16.5" customHeight="1">
      <c r="A221" s="368" t="s">
        <v>1964</v>
      </c>
      <c r="B221" s="371" t="s">
        <v>1965</v>
      </c>
      <c r="C221" s="387" t="s">
        <v>1966</v>
      </c>
      <c r="D221" s="369" t="s">
        <v>1247</v>
      </c>
      <c r="E221" s="369"/>
      <c r="F221" s="370">
        <v>4</v>
      </c>
      <c r="G221" s="368" t="s">
        <v>1960</v>
      </c>
      <c r="H221" s="368"/>
    </row>
    <row r="222" spans="1:8" ht="16.5" customHeight="1">
      <c r="A222" s="368" t="s">
        <v>1967</v>
      </c>
      <c r="B222" s="368" t="s">
        <v>1968</v>
      </c>
      <c r="C222" s="387" t="s">
        <v>1969</v>
      </c>
      <c r="D222" s="369" t="s">
        <v>1247</v>
      </c>
      <c r="E222" s="369"/>
      <c r="F222" s="370"/>
      <c r="G222" s="368" t="s">
        <v>1960</v>
      </c>
      <c r="H222" s="368"/>
    </row>
    <row r="223" spans="1:8" ht="16.5" customHeight="1">
      <c r="A223" s="368" t="s">
        <v>1970</v>
      </c>
      <c r="B223" s="373" t="s">
        <v>1970</v>
      </c>
      <c r="C223" s="387" t="s">
        <v>1971</v>
      </c>
      <c r="D223" s="369" t="s">
        <v>1247</v>
      </c>
      <c r="E223" s="369"/>
      <c r="F223" s="370"/>
      <c r="G223" s="368" t="s">
        <v>1960</v>
      </c>
      <c r="H223" s="368"/>
    </row>
    <row r="224" spans="1:8" ht="16.5" customHeight="1">
      <c r="A224" s="368" t="s">
        <v>1972</v>
      </c>
      <c r="B224" s="368" t="s">
        <v>1973</v>
      </c>
      <c r="C224" s="387" t="s">
        <v>1974</v>
      </c>
      <c r="D224" s="369" t="s">
        <v>1247</v>
      </c>
      <c r="E224" s="369"/>
      <c r="F224" s="370"/>
      <c r="G224" s="368" t="s">
        <v>1975</v>
      </c>
      <c r="H224" s="368"/>
    </row>
    <row r="225" spans="1:8" ht="16.5" customHeight="1">
      <c r="A225" s="368" t="s">
        <v>1976</v>
      </c>
      <c r="B225" s="373" t="s">
        <v>1976</v>
      </c>
      <c r="C225" s="387" t="s">
        <v>1977</v>
      </c>
      <c r="D225" s="369" t="s">
        <v>1247</v>
      </c>
      <c r="E225" s="369"/>
      <c r="F225" s="370"/>
      <c r="G225" s="368" t="s">
        <v>1975</v>
      </c>
      <c r="H225" s="368"/>
    </row>
    <row r="226" spans="1:8" ht="16.5" customHeight="1">
      <c r="A226" s="366" t="s">
        <v>1978</v>
      </c>
      <c r="B226" s="243" t="s">
        <v>1979</v>
      </c>
      <c r="C226" s="386" t="s">
        <v>1980</v>
      </c>
      <c r="D226" s="367" t="s">
        <v>1247</v>
      </c>
      <c r="E226" s="149"/>
      <c r="F226" s="139"/>
      <c r="G226" s="380" t="s">
        <v>1981</v>
      </c>
      <c r="H226" s="368"/>
    </row>
    <row r="227" spans="1:8" ht="16.5" customHeight="1">
      <c r="A227" s="366" t="s">
        <v>1982</v>
      </c>
      <c r="B227" s="366" t="s">
        <v>1983</v>
      </c>
      <c r="C227" s="387" t="s">
        <v>1984</v>
      </c>
      <c r="D227" s="149" t="s">
        <v>1247</v>
      </c>
      <c r="E227" s="149"/>
      <c r="F227" s="139">
        <v>5</v>
      </c>
      <c r="G227" s="366" t="s">
        <v>1985</v>
      </c>
      <c r="H227" s="368"/>
    </row>
    <row r="228" spans="1:8" ht="16.5" customHeight="1">
      <c r="A228" s="366" t="s">
        <v>1986</v>
      </c>
      <c r="B228" s="363" t="s">
        <v>1987</v>
      </c>
      <c r="C228" s="386" t="s">
        <v>1988</v>
      </c>
      <c r="D228" s="369" t="s">
        <v>1247</v>
      </c>
      <c r="E228" s="149"/>
      <c r="F228" s="139">
        <v>4</v>
      </c>
      <c r="G228" s="366" t="s">
        <v>3</v>
      </c>
      <c r="H228" s="368"/>
    </row>
    <row r="229" spans="1:8" ht="16.5" customHeight="1">
      <c r="A229" s="368" t="s">
        <v>1989</v>
      </c>
      <c r="B229" s="368" t="s">
        <v>1990</v>
      </c>
      <c r="C229" s="387" t="s">
        <v>1991</v>
      </c>
      <c r="D229" s="369" t="s">
        <v>1247</v>
      </c>
      <c r="E229" s="369"/>
      <c r="F229" s="370"/>
      <c r="G229" s="368" t="s">
        <v>3</v>
      </c>
      <c r="H229" s="368"/>
    </row>
    <row r="230" spans="1:8" ht="16.5" customHeight="1">
      <c r="A230" s="368" t="s">
        <v>1992</v>
      </c>
      <c r="B230" s="373" t="s">
        <v>1992</v>
      </c>
      <c r="C230" s="387" t="s">
        <v>1993</v>
      </c>
      <c r="D230" s="369" t="s">
        <v>1247</v>
      </c>
      <c r="E230" s="369"/>
      <c r="F230" s="370"/>
      <c r="G230" s="368" t="s">
        <v>3</v>
      </c>
      <c r="H230" s="368"/>
    </row>
    <row r="231" spans="1:8" ht="16.5" customHeight="1">
      <c r="A231" s="368" t="s">
        <v>1994</v>
      </c>
      <c r="B231" s="373" t="s">
        <v>1994</v>
      </c>
      <c r="C231" s="387" t="s">
        <v>1995</v>
      </c>
      <c r="D231" s="369" t="s">
        <v>1247</v>
      </c>
      <c r="E231" s="369"/>
      <c r="F231" s="370"/>
      <c r="G231" s="368" t="s">
        <v>3</v>
      </c>
      <c r="H231" s="368"/>
    </row>
    <row r="232" spans="1:8" ht="16.5" customHeight="1">
      <c r="A232" s="368" t="s">
        <v>1996</v>
      </c>
      <c r="B232" s="373" t="s">
        <v>1996</v>
      </c>
      <c r="C232" s="387" t="s">
        <v>1997</v>
      </c>
      <c r="D232" s="369" t="s">
        <v>1247</v>
      </c>
      <c r="E232" s="369"/>
      <c r="F232" s="370"/>
      <c r="G232" s="368" t="s">
        <v>3</v>
      </c>
      <c r="H232" s="368"/>
    </row>
    <row r="233" spans="1:8" ht="16.5" customHeight="1">
      <c r="A233" s="368" t="s">
        <v>1998</v>
      </c>
      <c r="B233" s="373" t="s">
        <v>1998</v>
      </c>
      <c r="C233" s="387" t="s">
        <v>1999</v>
      </c>
      <c r="D233" s="369" t="s">
        <v>1247</v>
      </c>
      <c r="E233" s="369"/>
      <c r="F233" s="370"/>
      <c r="G233" s="368" t="s">
        <v>3</v>
      </c>
      <c r="H233" s="368"/>
    </row>
    <row r="234" spans="1:8" ht="16.5" customHeight="1">
      <c r="A234" s="366" t="s">
        <v>2000</v>
      </c>
      <c r="B234" s="243" t="s">
        <v>2001</v>
      </c>
      <c r="C234" s="386" t="s">
        <v>2002</v>
      </c>
      <c r="D234" s="367" t="s">
        <v>1247</v>
      </c>
      <c r="E234" s="378" t="s">
        <v>1860</v>
      </c>
      <c r="F234" s="139"/>
      <c r="G234" s="366" t="s">
        <v>3</v>
      </c>
      <c r="H234" s="368"/>
    </row>
    <row r="235" spans="1:8" ht="16.5" customHeight="1">
      <c r="A235" s="368" t="s">
        <v>2003</v>
      </c>
      <c r="B235" s="379" t="s">
        <v>2004</v>
      </c>
      <c r="C235" s="387" t="s">
        <v>2005</v>
      </c>
      <c r="D235" s="369" t="s">
        <v>1247</v>
      </c>
      <c r="E235" s="369"/>
      <c r="F235" s="370"/>
      <c r="G235" s="368" t="s">
        <v>2006</v>
      </c>
      <c r="H235" s="368"/>
    </row>
    <row r="236" spans="1:8" ht="16.5" customHeight="1">
      <c r="A236" s="368" t="s">
        <v>2007</v>
      </c>
      <c r="B236" s="373" t="s">
        <v>2007</v>
      </c>
      <c r="C236" s="387" t="s">
        <v>2008</v>
      </c>
      <c r="D236" s="369" t="s">
        <v>1247</v>
      </c>
      <c r="E236" s="369"/>
      <c r="F236" s="370"/>
      <c r="G236" s="368" t="s">
        <v>2009</v>
      </c>
      <c r="H236" s="368"/>
    </row>
    <row r="237" spans="1:8" ht="16.5" customHeight="1">
      <c r="A237" s="368" t="s">
        <v>2010</v>
      </c>
      <c r="B237" s="373" t="s">
        <v>2010</v>
      </c>
      <c r="C237" s="387" t="s">
        <v>2011</v>
      </c>
      <c r="D237" s="369" t="s">
        <v>1247</v>
      </c>
      <c r="E237" s="369"/>
      <c r="F237" s="370"/>
      <c r="G237" s="368" t="s">
        <v>2012</v>
      </c>
      <c r="H237" s="368"/>
    </row>
    <row r="238" spans="1:8" ht="16.5" customHeight="1">
      <c r="A238" s="368" t="s">
        <v>2013</v>
      </c>
      <c r="B238" s="363" t="s">
        <v>2014</v>
      </c>
      <c r="C238" s="390" t="s">
        <v>2015</v>
      </c>
      <c r="D238" s="369" t="s">
        <v>1247</v>
      </c>
      <c r="E238" s="369"/>
      <c r="F238" s="370"/>
      <c r="G238" s="368" t="s">
        <v>2016</v>
      </c>
      <c r="H238" s="368"/>
    </row>
    <row r="239" spans="1:8" ht="16.5" customHeight="1">
      <c r="A239" s="368" t="s">
        <v>2017</v>
      </c>
      <c r="B239" s="363" t="s">
        <v>2018</v>
      </c>
      <c r="C239" s="387" t="s">
        <v>2019</v>
      </c>
      <c r="D239" s="369" t="s">
        <v>1247</v>
      </c>
      <c r="E239" s="369"/>
      <c r="F239" s="370"/>
      <c r="G239" s="368" t="s">
        <v>2016</v>
      </c>
      <c r="H239" s="368"/>
    </row>
    <row r="240" spans="1:8" ht="16.5" customHeight="1">
      <c r="A240" s="368" t="s">
        <v>2020</v>
      </c>
      <c r="B240" s="368" t="s">
        <v>2021</v>
      </c>
      <c r="C240" s="387" t="s">
        <v>2022</v>
      </c>
      <c r="D240" s="369" t="s">
        <v>1247</v>
      </c>
      <c r="E240" s="369"/>
      <c r="F240" s="370"/>
      <c r="G240" s="368" t="s">
        <v>2016</v>
      </c>
      <c r="H240" s="368"/>
    </row>
    <row r="241" spans="1:8" ht="16.5" customHeight="1">
      <c r="A241" s="368" t="s">
        <v>2023</v>
      </c>
      <c r="B241" s="373" t="s">
        <v>2023</v>
      </c>
      <c r="C241" s="387" t="s">
        <v>2024</v>
      </c>
      <c r="D241" s="369" t="s">
        <v>1247</v>
      </c>
      <c r="E241" s="369"/>
      <c r="F241" s="370"/>
      <c r="G241" s="368" t="s">
        <v>2016</v>
      </c>
      <c r="H241" s="368"/>
    </row>
    <row r="242" spans="1:8" ht="16.5" customHeight="1">
      <c r="A242" s="368" t="s">
        <v>2025</v>
      </c>
      <c r="B242" s="373" t="s">
        <v>2025</v>
      </c>
      <c r="C242" s="387" t="s">
        <v>2026</v>
      </c>
      <c r="D242" s="369" t="s">
        <v>1247</v>
      </c>
      <c r="E242" s="369"/>
      <c r="F242" s="370"/>
      <c r="G242" s="368" t="s">
        <v>2027</v>
      </c>
      <c r="H242" s="368"/>
    </row>
    <row r="243" spans="1:8" ht="16.5" customHeight="1">
      <c r="A243" s="368" t="s">
        <v>2028</v>
      </c>
      <c r="B243" s="372" t="s">
        <v>2029</v>
      </c>
      <c r="C243" s="387" t="s">
        <v>2030</v>
      </c>
      <c r="D243" s="369" t="s">
        <v>1247</v>
      </c>
      <c r="E243" s="369"/>
      <c r="F243" s="370"/>
      <c r="G243" s="368" t="s">
        <v>2027</v>
      </c>
      <c r="H243" s="368"/>
    </row>
    <row r="244" spans="1:8" ht="16.5" customHeight="1">
      <c r="A244" s="368" t="s">
        <v>2031</v>
      </c>
      <c r="B244" s="373" t="s">
        <v>2031</v>
      </c>
      <c r="C244" s="387" t="s">
        <v>2032</v>
      </c>
      <c r="D244" s="369" t="s">
        <v>1247</v>
      </c>
      <c r="E244" s="369"/>
      <c r="F244" s="370"/>
      <c r="G244" s="368" t="s">
        <v>2027</v>
      </c>
      <c r="H244" s="368"/>
    </row>
    <row r="245" spans="1:8" ht="16.5" customHeight="1">
      <c r="A245" s="368" t="s">
        <v>2033</v>
      </c>
      <c r="B245" s="379" t="s">
        <v>2034</v>
      </c>
      <c r="C245" s="387" t="s">
        <v>2035</v>
      </c>
      <c r="D245" s="369" t="s">
        <v>1247</v>
      </c>
      <c r="E245" s="369"/>
      <c r="F245" s="370"/>
      <c r="G245" s="368" t="s">
        <v>2027</v>
      </c>
      <c r="H245" s="368"/>
    </row>
    <row r="246" spans="1:8" ht="16.5" customHeight="1">
      <c r="A246" s="366" t="s">
        <v>2036</v>
      </c>
      <c r="B246" s="366" t="s">
        <v>2037</v>
      </c>
      <c r="C246" s="386" t="s">
        <v>2038</v>
      </c>
      <c r="D246" s="367" t="s">
        <v>1247</v>
      </c>
      <c r="E246" s="149"/>
      <c r="F246" s="139"/>
      <c r="G246" s="366" t="s">
        <v>2027</v>
      </c>
      <c r="H246" s="368"/>
    </row>
    <row r="247" spans="1:8" ht="16.5" customHeight="1">
      <c r="A247" s="368" t="s">
        <v>2039</v>
      </c>
      <c r="B247" s="373" t="s">
        <v>2039</v>
      </c>
      <c r="C247" s="387" t="s">
        <v>2040</v>
      </c>
      <c r="D247" s="369" t="s">
        <v>1247</v>
      </c>
      <c r="E247" s="369"/>
      <c r="F247" s="370"/>
      <c r="G247" s="368" t="s">
        <v>2027</v>
      </c>
      <c r="H247" s="368"/>
    </row>
    <row r="248" spans="1:8" ht="16.5" customHeight="1">
      <c r="A248" s="366" t="s">
        <v>2041</v>
      </c>
      <c r="B248" s="366" t="s">
        <v>2042</v>
      </c>
      <c r="C248" s="386" t="s">
        <v>2043</v>
      </c>
      <c r="D248" s="367" t="s">
        <v>1247</v>
      </c>
      <c r="E248" s="149"/>
      <c r="F248" s="139"/>
      <c r="G248" s="366" t="s">
        <v>2027</v>
      </c>
      <c r="H248" s="368"/>
    </row>
    <row r="249" spans="1:8" ht="16.5" customHeight="1">
      <c r="A249" s="368" t="s">
        <v>2044</v>
      </c>
      <c r="B249" s="373" t="s">
        <v>2044</v>
      </c>
      <c r="C249" s="387" t="s">
        <v>2045</v>
      </c>
      <c r="D249" s="369" t="s">
        <v>1247</v>
      </c>
      <c r="E249" s="369"/>
      <c r="F249" s="370"/>
      <c r="G249" s="368" t="s">
        <v>2027</v>
      </c>
      <c r="H249" s="368"/>
    </row>
    <row r="250" spans="1:8" ht="16.5" customHeight="1">
      <c r="A250" s="366" t="s">
        <v>2046</v>
      </c>
      <c r="B250" s="366" t="s">
        <v>2047</v>
      </c>
      <c r="C250" s="386" t="s">
        <v>2048</v>
      </c>
      <c r="D250" s="367" t="s">
        <v>1247</v>
      </c>
      <c r="E250" s="149"/>
      <c r="F250" s="139"/>
      <c r="G250" s="366" t="s">
        <v>2027</v>
      </c>
      <c r="H250" s="368"/>
    </row>
    <row r="251" spans="1:8" ht="16.5" customHeight="1">
      <c r="A251" s="368" t="s">
        <v>2049</v>
      </c>
      <c r="B251" s="363" t="s">
        <v>2050</v>
      </c>
      <c r="C251" s="390" t="s">
        <v>2051</v>
      </c>
      <c r="D251" s="369" t="s">
        <v>1247</v>
      </c>
      <c r="E251" s="369"/>
      <c r="F251" s="376">
        <v>3</v>
      </c>
      <c r="G251" s="368" t="s">
        <v>2052</v>
      </c>
      <c r="H251" s="368"/>
    </row>
    <row r="252" spans="1:8" ht="16.5" customHeight="1">
      <c r="A252" s="368" t="s">
        <v>2053</v>
      </c>
      <c r="B252" s="368" t="s">
        <v>2054</v>
      </c>
      <c r="C252" s="387" t="s">
        <v>2055</v>
      </c>
      <c r="D252" s="369" t="s">
        <v>1247</v>
      </c>
      <c r="E252" s="369"/>
      <c r="F252" s="370"/>
      <c r="G252" s="368" t="s">
        <v>2056</v>
      </c>
      <c r="H252" s="368"/>
    </row>
    <row r="253" spans="1:8" ht="16.5" customHeight="1">
      <c r="A253" s="368" t="s">
        <v>2057</v>
      </c>
      <c r="B253" s="368" t="s">
        <v>2058</v>
      </c>
      <c r="C253" s="387" t="s">
        <v>2059</v>
      </c>
      <c r="D253" s="369" t="s">
        <v>1247</v>
      </c>
      <c r="E253" s="369"/>
      <c r="F253" s="370"/>
      <c r="G253" s="368" t="s">
        <v>2056</v>
      </c>
      <c r="H253" s="368"/>
    </row>
    <row r="254" spans="1:8" ht="16.5" customHeight="1">
      <c r="A254" s="366" t="s">
        <v>2060</v>
      </c>
      <c r="B254" s="366" t="s">
        <v>2061</v>
      </c>
      <c r="C254" s="386" t="s">
        <v>2062</v>
      </c>
      <c r="D254" s="367" t="s">
        <v>1247</v>
      </c>
      <c r="E254" s="149" t="s">
        <v>2063</v>
      </c>
      <c r="F254" s="139"/>
      <c r="G254" s="366" t="s">
        <v>2064</v>
      </c>
      <c r="H254" s="368"/>
    </row>
    <row r="255" spans="1:8" ht="16.5" customHeight="1">
      <c r="A255" s="368" t="s">
        <v>2065</v>
      </c>
      <c r="B255" s="368" t="s">
        <v>2066</v>
      </c>
      <c r="C255" s="387" t="s">
        <v>2067</v>
      </c>
      <c r="D255" s="369" t="s">
        <v>1247</v>
      </c>
      <c r="E255" s="369"/>
      <c r="F255" s="370"/>
      <c r="G255" s="368" t="s">
        <v>2068</v>
      </c>
      <c r="H255" s="368"/>
    </row>
    <row r="256" spans="1:8" ht="16.5" customHeight="1">
      <c r="A256" s="368" t="s">
        <v>2069</v>
      </c>
      <c r="B256" s="373" t="s">
        <v>2069</v>
      </c>
      <c r="C256" s="387" t="s">
        <v>2070</v>
      </c>
      <c r="D256" s="369" t="s">
        <v>1247</v>
      </c>
      <c r="E256" s="369"/>
      <c r="F256" s="370"/>
      <c r="G256" s="368" t="s">
        <v>2071</v>
      </c>
      <c r="H256" s="368"/>
    </row>
    <row r="257" spans="1:8" ht="16.5" customHeight="1">
      <c r="A257" s="368" t="s">
        <v>2072</v>
      </c>
      <c r="B257" s="373" t="s">
        <v>2072</v>
      </c>
      <c r="C257" s="387" t="s">
        <v>2073</v>
      </c>
      <c r="D257" s="369" t="s">
        <v>1247</v>
      </c>
      <c r="E257" s="369"/>
      <c r="F257" s="370"/>
      <c r="G257" s="368" t="s">
        <v>2074</v>
      </c>
      <c r="H257" s="368"/>
    </row>
    <row r="258" spans="1:8" ht="16.5" customHeight="1">
      <c r="A258" s="368" t="s">
        <v>2075</v>
      </c>
      <c r="B258" s="373" t="s">
        <v>2075</v>
      </c>
      <c r="C258" s="387" t="s">
        <v>2076</v>
      </c>
      <c r="D258" s="369" t="s">
        <v>1247</v>
      </c>
      <c r="E258" s="369"/>
      <c r="F258" s="370"/>
      <c r="G258" s="368" t="s">
        <v>2077</v>
      </c>
      <c r="H258" s="368"/>
    </row>
    <row r="259" spans="1:8" ht="16.5" customHeight="1">
      <c r="A259" s="366" t="s">
        <v>2078</v>
      </c>
      <c r="B259" s="366" t="s">
        <v>2079</v>
      </c>
      <c r="C259" s="386" t="s">
        <v>2080</v>
      </c>
      <c r="D259" s="367" t="s">
        <v>1247</v>
      </c>
      <c r="E259" s="149"/>
      <c r="F259" s="139"/>
      <c r="G259" s="366" t="s">
        <v>2081</v>
      </c>
      <c r="H259" s="368"/>
    </row>
    <row r="260" spans="1:8" ht="16.5" customHeight="1">
      <c r="A260" s="366" t="s">
        <v>2082</v>
      </c>
      <c r="B260" s="243" t="s">
        <v>2083</v>
      </c>
      <c r="C260" s="386" t="s">
        <v>2084</v>
      </c>
      <c r="D260" s="367" t="s">
        <v>1427</v>
      </c>
      <c r="E260" s="149"/>
      <c r="F260" s="139">
        <v>5</v>
      </c>
      <c r="G260" s="368" t="s">
        <v>2085</v>
      </c>
      <c r="H260" s="368"/>
    </row>
    <row r="261" spans="1:8" ht="16.5" customHeight="1">
      <c r="A261" s="368" t="s">
        <v>2086</v>
      </c>
      <c r="B261" s="363" t="s">
        <v>2087</v>
      </c>
      <c r="C261" s="387" t="s">
        <v>2088</v>
      </c>
      <c r="D261" s="369" t="s">
        <v>1247</v>
      </c>
      <c r="E261" s="369"/>
      <c r="F261" s="370"/>
      <c r="G261" s="368" t="s">
        <v>2085</v>
      </c>
      <c r="H261" s="368"/>
    </row>
    <row r="262" spans="1:8" ht="16.5" customHeight="1">
      <c r="A262" s="366" t="s">
        <v>2089</v>
      </c>
      <c r="B262" s="363" t="s">
        <v>2090</v>
      </c>
      <c r="C262" s="386" t="s">
        <v>2091</v>
      </c>
      <c r="D262" s="369" t="s">
        <v>1247</v>
      </c>
      <c r="E262" s="149"/>
      <c r="F262" s="139"/>
      <c r="G262" s="368" t="s">
        <v>2085</v>
      </c>
      <c r="H262" s="368"/>
    </row>
    <row r="263" spans="1:8" ht="16.5" customHeight="1">
      <c r="A263" s="366" t="s">
        <v>2092</v>
      </c>
      <c r="B263" s="366" t="s">
        <v>2093</v>
      </c>
      <c r="C263" s="386" t="s">
        <v>2094</v>
      </c>
      <c r="D263" s="367" t="s">
        <v>1427</v>
      </c>
      <c r="E263" s="149"/>
      <c r="F263" s="139">
        <v>5</v>
      </c>
      <c r="G263" s="368" t="s">
        <v>2085</v>
      </c>
      <c r="H263" s="368"/>
    </row>
    <row r="264" spans="1:8" ht="16.5" customHeight="1">
      <c r="A264" s="368" t="s">
        <v>2095</v>
      </c>
      <c r="B264" s="373" t="s">
        <v>2096</v>
      </c>
      <c r="C264" s="390" t="s">
        <v>2097</v>
      </c>
      <c r="D264" s="369" t="s">
        <v>1247</v>
      </c>
      <c r="E264" s="381"/>
      <c r="F264" s="370"/>
      <c r="G264" s="368" t="s">
        <v>2098</v>
      </c>
      <c r="H264" s="368"/>
    </row>
    <row r="265" spans="1:8" ht="16.5" customHeight="1">
      <c r="A265" s="366" t="s">
        <v>2099</v>
      </c>
      <c r="B265" s="366" t="s">
        <v>2100</v>
      </c>
      <c r="C265" s="386" t="s">
        <v>2101</v>
      </c>
      <c r="D265" s="367" t="s">
        <v>1247</v>
      </c>
      <c r="E265" s="149"/>
      <c r="F265" s="139"/>
      <c r="G265" s="366" t="s">
        <v>2102</v>
      </c>
      <c r="H265" s="368"/>
    </row>
    <row r="266" spans="1:8" ht="16.5" customHeight="1">
      <c r="A266" s="368" t="s">
        <v>2103</v>
      </c>
      <c r="B266" s="373" t="s">
        <v>2103</v>
      </c>
      <c r="C266" s="387" t="s">
        <v>2104</v>
      </c>
      <c r="D266" s="369" t="s">
        <v>1247</v>
      </c>
      <c r="E266" s="369"/>
      <c r="F266" s="370"/>
      <c r="G266" s="368" t="s">
        <v>2105</v>
      </c>
      <c r="H266" s="368"/>
    </row>
    <row r="267" spans="1:8" ht="16.5" customHeight="1">
      <c r="A267" s="366" t="s">
        <v>2106</v>
      </c>
      <c r="B267" s="366" t="s">
        <v>2107</v>
      </c>
      <c r="C267" s="386" t="s">
        <v>2108</v>
      </c>
      <c r="D267" s="367" t="s">
        <v>1427</v>
      </c>
      <c r="E267" s="149"/>
      <c r="F267" s="139">
        <v>5</v>
      </c>
      <c r="G267" s="366" t="s">
        <v>2105</v>
      </c>
      <c r="H267" s="368"/>
    </row>
    <row r="268" spans="1:8" ht="16.5" customHeight="1">
      <c r="A268" s="368" t="s">
        <v>2109</v>
      </c>
      <c r="B268" s="373" t="s">
        <v>2109</v>
      </c>
      <c r="C268" s="387" t="s">
        <v>2110</v>
      </c>
      <c r="D268" s="369" t="s">
        <v>1247</v>
      </c>
      <c r="E268" s="369"/>
      <c r="F268" s="370"/>
      <c r="G268" s="368" t="s">
        <v>2105</v>
      </c>
      <c r="H268" s="368"/>
    </row>
    <row r="269" spans="1:8" ht="16.5" customHeight="1">
      <c r="A269" s="368" t="s">
        <v>2111</v>
      </c>
      <c r="B269" s="368" t="s">
        <v>2112</v>
      </c>
      <c r="C269" s="387" t="s">
        <v>2113</v>
      </c>
      <c r="D269" s="369" t="s">
        <v>1247</v>
      </c>
      <c r="E269" s="369"/>
      <c r="F269" s="370"/>
      <c r="G269" s="368" t="s">
        <v>2114</v>
      </c>
      <c r="H269" s="368"/>
    </row>
    <row r="270" spans="1:8" ht="16.5" customHeight="1">
      <c r="A270" s="368" t="s">
        <v>2115</v>
      </c>
      <c r="B270" s="373" t="s">
        <v>2115</v>
      </c>
      <c r="C270" s="387" t="s">
        <v>2116</v>
      </c>
      <c r="D270" s="369" t="s">
        <v>1247</v>
      </c>
      <c r="E270" s="369"/>
      <c r="F270" s="370"/>
      <c r="G270" s="368" t="s">
        <v>2114</v>
      </c>
      <c r="H270" s="368"/>
    </row>
    <row r="271" spans="1:8" ht="16.5" customHeight="1">
      <c r="A271" s="368" t="s">
        <v>2117</v>
      </c>
      <c r="B271" s="379" t="s">
        <v>2118</v>
      </c>
      <c r="C271" s="387" t="s">
        <v>2119</v>
      </c>
      <c r="D271" s="369" t="s">
        <v>1247</v>
      </c>
      <c r="E271" s="369"/>
      <c r="F271" s="370"/>
      <c r="G271" s="368" t="s">
        <v>2114</v>
      </c>
      <c r="H271" s="368"/>
    </row>
    <row r="272" spans="1:8" ht="16.5" customHeight="1">
      <c r="A272" s="368" t="s">
        <v>2120</v>
      </c>
      <c r="B272" s="372" t="s">
        <v>2121</v>
      </c>
      <c r="C272" s="387" t="s">
        <v>2122</v>
      </c>
      <c r="D272" s="369" t="s">
        <v>1247</v>
      </c>
      <c r="E272" s="369"/>
      <c r="F272" s="370"/>
      <c r="G272" s="368" t="s">
        <v>2114</v>
      </c>
      <c r="H272" s="368"/>
    </row>
    <row r="273" spans="1:8" ht="16.5" customHeight="1">
      <c r="A273" s="368" t="s">
        <v>2123</v>
      </c>
      <c r="B273" s="368" t="s">
        <v>2124</v>
      </c>
      <c r="C273" s="387" t="s">
        <v>2125</v>
      </c>
      <c r="D273" s="369" t="s">
        <v>1247</v>
      </c>
      <c r="E273" s="369"/>
      <c r="F273" s="370"/>
      <c r="G273" s="368" t="s">
        <v>2126</v>
      </c>
      <c r="H273" s="368"/>
    </row>
    <row r="274" spans="1:8" ht="16.5" customHeight="1">
      <c r="A274" s="368" t="s">
        <v>2127</v>
      </c>
      <c r="B274" s="371" t="s">
        <v>2128</v>
      </c>
      <c r="C274" s="387" t="s">
        <v>2129</v>
      </c>
      <c r="D274" s="369" t="s">
        <v>1307</v>
      </c>
      <c r="E274" s="369" t="s">
        <v>2130</v>
      </c>
      <c r="F274" s="370">
        <v>4</v>
      </c>
      <c r="G274" s="368" t="s">
        <v>2131</v>
      </c>
      <c r="H274" s="368"/>
    </row>
    <row r="275" spans="1:8" ht="16.5" customHeight="1">
      <c r="A275" s="368" t="s">
        <v>2132</v>
      </c>
      <c r="B275" s="363" t="s">
        <v>2133</v>
      </c>
      <c r="C275" s="387" t="s">
        <v>2134</v>
      </c>
      <c r="D275" s="369" t="s">
        <v>1247</v>
      </c>
      <c r="E275" s="369"/>
      <c r="F275" s="370"/>
      <c r="G275" s="368" t="s">
        <v>2131</v>
      </c>
      <c r="H275" s="368"/>
    </row>
    <row r="276" spans="1:8" ht="16.5" customHeight="1">
      <c r="A276" s="368" t="s">
        <v>2135</v>
      </c>
      <c r="B276" s="368" t="s">
        <v>2136</v>
      </c>
      <c r="C276" s="387" t="s">
        <v>2137</v>
      </c>
      <c r="D276" s="369" t="s">
        <v>1247</v>
      </c>
      <c r="E276" s="369"/>
      <c r="F276" s="370">
        <v>3</v>
      </c>
      <c r="G276" s="368" t="s">
        <v>2131</v>
      </c>
      <c r="H276" s="368"/>
    </row>
    <row r="277" spans="1:8" ht="16.5" customHeight="1">
      <c r="A277" s="366" t="s">
        <v>2138</v>
      </c>
      <c r="B277" s="366" t="s">
        <v>2139</v>
      </c>
      <c r="C277" s="386" t="s">
        <v>2140</v>
      </c>
      <c r="D277" s="369" t="s">
        <v>1247</v>
      </c>
      <c r="E277" s="149"/>
      <c r="F277" s="139"/>
      <c r="G277" s="366" t="s">
        <v>2131</v>
      </c>
      <c r="H277" s="368"/>
    </row>
    <row r="278" spans="1:8" ht="16.5" customHeight="1">
      <c r="A278" s="368" t="s">
        <v>2141</v>
      </c>
      <c r="B278" s="363" t="s">
        <v>2142</v>
      </c>
      <c r="C278" s="387" t="s">
        <v>2143</v>
      </c>
      <c r="D278" s="369" t="s">
        <v>1247</v>
      </c>
      <c r="E278" s="369"/>
      <c r="F278" s="370"/>
      <c r="G278" s="368" t="s">
        <v>2131</v>
      </c>
      <c r="H278" s="368"/>
    </row>
    <row r="279" spans="1:8" ht="16.5" customHeight="1">
      <c r="A279" s="368" t="s">
        <v>2144</v>
      </c>
      <c r="B279" s="363" t="s">
        <v>2145</v>
      </c>
      <c r="C279" s="387" t="s">
        <v>2146</v>
      </c>
      <c r="D279" s="369" t="s">
        <v>1247</v>
      </c>
      <c r="E279" s="369"/>
      <c r="F279" s="370">
        <v>5</v>
      </c>
      <c r="G279" s="368" t="s">
        <v>2131</v>
      </c>
      <c r="H279" s="368"/>
    </row>
    <row r="280" spans="1:8" ht="16.5" customHeight="1">
      <c r="A280" s="368" t="s">
        <v>2147</v>
      </c>
      <c r="B280" s="373" t="s">
        <v>2147</v>
      </c>
      <c r="C280" s="387" t="s">
        <v>2148</v>
      </c>
      <c r="D280" s="369" t="s">
        <v>1247</v>
      </c>
      <c r="E280" s="369"/>
      <c r="F280" s="370"/>
      <c r="G280" s="368" t="s">
        <v>2149</v>
      </c>
      <c r="H280" s="368"/>
    </row>
    <row r="281" spans="1:8" ht="16.5" customHeight="1">
      <c r="A281" s="368" t="s">
        <v>2150</v>
      </c>
      <c r="B281" s="368" t="s">
        <v>2151</v>
      </c>
      <c r="C281" s="387" t="s">
        <v>2152</v>
      </c>
      <c r="D281" s="369" t="s">
        <v>1247</v>
      </c>
      <c r="E281" s="369"/>
      <c r="F281" s="370"/>
      <c r="G281" s="368" t="s">
        <v>2153</v>
      </c>
      <c r="H281" s="368"/>
    </row>
    <row r="282" spans="1:8" ht="16.5" customHeight="1">
      <c r="A282" s="368" t="s">
        <v>2154</v>
      </c>
      <c r="B282" s="373" t="s">
        <v>2154</v>
      </c>
      <c r="C282" s="387" t="s">
        <v>2155</v>
      </c>
      <c r="D282" s="369" t="s">
        <v>1247</v>
      </c>
      <c r="E282" s="369"/>
      <c r="F282" s="370"/>
      <c r="G282" s="368" t="s">
        <v>2156</v>
      </c>
      <c r="H282" s="368"/>
    </row>
    <row r="283" spans="1:8" ht="16.5" customHeight="1">
      <c r="A283" s="368" t="s">
        <v>2157</v>
      </c>
      <c r="B283" s="373" t="s">
        <v>2157</v>
      </c>
      <c r="C283" s="387" t="s">
        <v>2158</v>
      </c>
      <c r="D283" s="369" t="s">
        <v>1247</v>
      </c>
      <c r="E283" s="369"/>
      <c r="F283" s="370"/>
      <c r="G283" s="368" t="s">
        <v>2159</v>
      </c>
      <c r="H283" s="368"/>
    </row>
    <row r="284" spans="1:8" ht="16.5" customHeight="1">
      <c r="A284" s="368" t="s">
        <v>2160</v>
      </c>
      <c r="B284" s="373" t="s">
        <v>2160</v>
      </c>
      <c r="C284" s="387" t="s">
        <v>2161</v>
      </c>
      <c r="D284" s="369" t="s">
        <v>1247</v>
      </c>
      <c r="E284" s="369"/>
      <c r="F284" s="370"/>
      <c r="G284" s="368" t="s">
        <v>2162</v>
      </c>
      <c r="H284" s="368"/>
    </row>
    <row r="285" spans="1:8" ht="16.5" customHeight="1">
      <c r="A285" s="366" t="s">
        <v>2163</v>
      </c>
      <c r="B285" s="366" t="s">
        <v>2164</v>
      </c>
      <c r="C285" s="386" t="s">
        <v>2165</v>
      </c>
      <c r="D285" s="367" t="s">
        <v>1247</v>
      </c>
      <c r="E285" s="149" t="s">
        <v>2166</v>
      </c>
      <c r="F285" s="139"/>
      <c r="G285" s="366" t="s">
        <v>2167</v>
      </c>
      <c r="H285" s="368"/>
    </row>
    <row r="286" spans="1:8" ht="16.5" customHeight="1">
      <c r="A286" s="368" t="s">
        <v>2168</v>
      </c>
      <c r="B286" s="243" t="s">
        <v>2169</v>
      </c>
      <c r="C286" s="387" t="s">
        <v>2170</v>
      </c>
      <c r="D286" s="369" t="s">
        <v>1247</v>
      </c>
      <c r="E286" s="149"/>
      <c r="F286" s="139"/>
      <c r="G286" s="366" t="s">
        <v>2171</v>
      </c>
      <c r="H286" s="368"/>
    </row>
    <row r="287" spans="1:8" ht="16.5" customHeight="1">
      <c r="A287" s="368" t="s">
        <v>2172</v>
      </c>
      <c r="B287" s="363" t="s">
        <v>2173</v>
      </c>
      <c r="C287" s="393" t="s">
        <v>2174</v>
      </c>
      <c r="D287" s="369" t="s">
        <v>1247</v>
      </c>
      <c r="E287" s="149"/>
      <c r="F287" s="139"/>
      <c r="G287" s="366" t="s">
        <v>2175</v>
      </c>
      <c r="H287" s="368"/>
    </row>
    <row r="288" spans="1:8" ht="16.5" customHeight="1">
      <c r="A288" s="368" t="s">
        <v>2176</v>
      </c>
      <c r="B288" s="373" t="s">
        <v>2176</v>
      </c>
      <c r="C288" s="387" t="s">
        <v>2177</v>
      </c>
      <c r="D288" s="369" t="s">
        <v>1247</v>
      </c>
      <c r="E288" s="369"/>
      <c r="F288" s="370"/>
      <c r="G288" s="368" t="s">
        <v>2178</v>
      </c>
      <c r="H288" s="368"/>
    </row>
    <row r="289" spans="1:8" ht="16.5" customHeight="1">
      <c r="A289" s="368" t="s">
        <v>2179</v>
      </c>
      <c r="B289" s="373" t="s">
        <v>2179</v>
      </c>
      <c r="C289" s="387" t="s">
        <v>2180</v>
      </c>
      <c r="D289" s="369" t="s">
        <v>1247</v>
      </c>
      <c r="E289" s="369"/>
      <c r="F289" s="370"/>
      <c r="G289" s="368" t="s">
        <v>2181</v>
      </c>
      <c r="H289" s="368"/>
    </row>
    <row r="290" spans="1:8" ht="16.5" customHeight="1">
      <c r="A290" s="368" t="s">
        <v>2182</v>
      </c>
      <c r="B290" s="373" t="s">
        <v>2182</v>
      </c>
      <c r="C290" s="387" t="s">
        <v>2183</v>
      </c>
      <c r="D290" s="369" t="s">
        <v>1247</v>
      </c>
      <c r="E290" s="369"/>
      <c r="F290" s="370"/>
      <c r="G290" s="368" t="s">
        <v>2181</v>
      </c>
      <c r="H290" s="368"/>
    </row>
    <row r="291" spans="1:8" ht="16.5" customHeight="1">
      <c r="A291" s="366" t="s">
        <v>2184</v>
      </c>
      <c r="B291" s="243" t="s">
        <v>2185</v>
      </c>
      <c r="C291" s="386" t="s">
        <v>2186</v>
      </c>
      <c r="D291" s="369" t="s">
        <v>1247</v>
      </c>
      <c r="E291" s="149"/>
      <c r="F291" s="139">
        <v>4</v>
      </c>
      <c r="G291" s="366" t="s">
        <v>2187</v>
      </c>
      <c r="H291" s="368"/>
    </row>
    <row r="292" spans="1:8" ht="16.5" customHeight="1">
      <c r="A292" s="368" t="s">
        <v>2188</v>
      </c>
      <c r="B292" s="379" t="s">
        <v>2189</v>
      </c>
      <c r="C292" s="387" t="s">
        <v>2190</v>
      </c>
      <c r="D292" s="369" t="s">
        <v>1247</v>
      </c>
      <c r="E292" s="369"/>
      <c r="F292" s="370"/>
      <c r="G292" s="368" t="s">
        <v>2191</v>
      </c>
      <c r="H292" s="368"/>
    </row>
    <row r="293" spans="1:8" ht="16.5" customHeight="1">
      <c r="A293" s="368" t="s">
        <v>2192</v>
      </c>
      <c r="B293" s="373" t="s">
        <v>2192</v>
      </c>
      <c r="C293" s="387" t="s">
        <v>2193</v>
      </c>
      <c r="D293" s="369" t="s">
        <v>1247</v>
      </c>
      <c r="E293" s="369"/>
      <c r="F293" s="370"/>
      <c r="G293" s="368" t="s">
        <v>2191</v>
      </c>
      <c r="H293" s="368"/>
    </row>
    <row r="294" spans="1:8" ht="16.5" customHeight="1">
      <c r="A294" s="368" t="s">
        <v>2194</v>
      </c>
      <c r="B294" s="363" t="s">
        <v>2195</v>
      </c>
      <c r="C294" s="387" t="s">
        <v>2196</v>
      </c>
      <c r="D294" s="369" t="s">
        <v>1247</v>
      </c>
      <c r="E294" s="369"/>
      <c r="F294" s="370">
        <v>4</v>
      </c>
      <c r="G294" s="368" t="s">
        <v>2197</v>
      </c>
      <c r="H294" s="368"/>
    </row>
    <row r="295" spans="1:8" ht="16.5" customHeight="1">
      <c r="A295" s="368" t="s">
        <v>2198</v>
      </c>
      <c r="B295" s="243" t="s">
        <v>2199</v>
      </c>
      <c r="C295" s="387" t="s">
        <v>2200</v>
      </c>
      <c r="D295" s="369" t="s">
        <v>1247</v>
      </c>
      <c r="E295" s="369"/>
      <c r="F295" s="370">
        <v>5</v>
      </c>
      <c r="G295" s="368" t="s">
        <v>2197</v>
      </c>
      <c r="H295" s="368"/>
    </row>
    <row r="296" spans="1:8" ht="16.5" customHeight="1">
      <c r="A296" s="368" t="s">
        <v>2201</v>
      </c>
      <c r="B296" s="371" t="s">
        <v>2202</v>
      </c>
      <c r="C296" s="387" t="s">
        <v>2203</v>
      </c>
      <c r="D296" s="369" t="s">
        <v>1307</v>
      </c>
      <c r="E296" s="369" t="s">
        <v>2204</v>
      </c>
      <c r="F296" s="370">
        <v>5</v>
      </c>
      <c r="G296" s="368" t="s">
        <v>2197</v>
      </c>
      <c r="H296" s="368"/>
    </row>
    <row r="297" spans="1:8" ht="16.5" customHeight="1">
      <c r="A297" s="368" t="s">
        <v>2205</v>
      </c>
      <c r="B297" s="368" t="s">
        <v>2206</v>
      </c>
      <c r="C297" s="387" t="s">
        <v>2207</v>
      </c>
      <c r="D297" s="369" t="s">
        <v>1247</v>
      </c>
      <c r="E297" s="369"/>
      <c r="F297" s="370"/>
      <c r="G297" s="368" t="s">
        <v>2208</v>
      </c>
      <c r="H297" s="368"/>
    </row>
    <row r="298" spans="1:8" ht="16.5" customHeight="1">
      <c r="A298" s="368" t="s">
        <v>2209</v>
      </c>
      <c r="B298" s="368" t="s">
        <v>2210</v>
      </c>
      <c r="C298" s="387" t="s">
        <v>2211</v>
      </c>
      <c r="D298" s="369" t="s">
        <v>1247</v>
      </c>
      <c r="E298" s="369"/>
      <c r="F298" s="370"/>
      <c r="G298" s="368" t="s">
        <v>2212</v>
      </c>
      <c r="H298" s="368"/>
    </row>
    <row r="299" spans="1:8" ht="16.5" customHeight="1">
      <c r="A299" s="368" t="s">
        <v>2213</v>
      </c>
      <c r="B299" s="373" t="s">
        <v>2213</v>
      </c>
      <c r="C299" s="387" t="s">
        <v>2214</v>
      </c>
      <c r="D299" s="369" t="s">
        <v>1247</v>
      </c>
      <c r="E299" s="369"/>
      <c r="F299" s="370"/>
      <c r="G299" s="368" t="s">
        <v>2215</v>
      </c>
      <c r="H299" s="368"/>
    </row>
    <row r="300" spans="1:8" ht="16.5" customHeight="1">
      <c r="A300" s="368" t="s">
        <v>2216</v>
      </c>
      <c r="B300" s="368" t="s">
        <v>2217</v>
      </c>
      <c r="C300" s="387" t="s">
        <v>2218</v>
      </c>
      <c r="D300" s="369" t="s">
        <v>1247</v>
      </c>
      <c r="E300" s="369"/>
      <c r="F300" s="370"/>
      <c r="G300" s="368" t="s">
        <v>2219</v>
      </c>
      <c r="H300" s="368"/>
    </row>
    <row r="301" spans="1:8" ht="16.5" customHeight="1">
      <c r="A301" s="366" t="s">
        <v>2220</v>
      </c>
      <c r="B301" s="366" t="s">
        <v>2221</v>
      </c>
      <c r="C301" s="386" t="s">
        <v>2222</v>
      </c>
      <c r="D301" s="367" t="s">
        <v>1427</v>
      </c>
      <c r="E301" s="149"/>
      <c r="F301" s="139">
        <v>5</v>
      </c>
      <c r="G301" s="366" t="s">
        <v>2223</v>
      </c>
      <c r="H301" s="368"/>
    </row>
    <row r="302" spans="1:8" ht="16.5" customHeight="1">
      <c r="A302" s="368" t="s">
        <v>2224</v>
      </c>
      <c r="B302" s="368" t="s">
        <v>2225</v>
      </c>
      <c r="C302" s="387" t="s">
        <v>2226</v>
      </c>
      <c r="D302" s="369" t="s">
        <v>1247</v>
      </c>
      <c r="E302" s="369"/>
      <c r="F302" s="370"/>
      <c r="G302" s="368" t="s">
        <v>2227</v>
      </c>
      <c r="H302" s="368"/>
    </row>
    <row r="303" spans="1:8" ht="16.5" customHeight="1">
      <c r="A303" s="368" t="s">
        <v>2228</v>
      </c>
      <c r="B303" s="368" t="s">
        <v>2229</v>
      </c>
      <c r="C303" s="387" t="s">
        <v>2230</v>
      </c>
      <c r="D303" s="369" t="s">
        <v>1247</v>
      </c>
      <c r="E303" s="369"/>
      <c r="F303" s="370"/>
      <c r="G303" s="368" t="s">
        <v>2227</v>
      </c>
      <c r="H303" s="368"/>
    </row>
    <row r="304" spans="1:8" ht="16.5" customHeight="1">
      <c r="A304" s="368" t="s">
        <v>2231</v>
      </c>
      <c r="B304" s="368" t="s">
        <v>2232</v>
      </c>
      <c r="C304" s="387" t="s">
        <v>2233</v>
      </c>
      <c r="D304" s="369" t="s">
        <v>1247</v>
      </c>
      <c r="E304" s="369"/>
      <c r="F304" s="370"/>
      <c r="G304" s="368" t="s">
        <v>2227</v>
      </c>
      <c r="H304" s="368"/>
    </row>
    <row r="305" spans="1:8" ht="16.5" customHeight="1">
      <c r="A305" s="368" t="s">
        <v>2234</v>
      </c>
      <c r="B305" s="372" t="s">
        <v>2235</v>
      </c>
      <c r="C305" s="387" t="s">
        <v>2236</v>
      </c>
      <c r="D305" s="369" t="s">
        <v>1247</v>
      </c>
      <c r="E305" s="369"/>
      <c r="F305" s="370"/>
      <c r="G305" s="368" t="s">
        <v>2227</v>
      </c>
      <c r="H305" s="368"/>
    </row>
    <row r="306" spans="1:8" ht="16.5" customHeight="1">
      <c r="A306" s="368" t="s">
        <v>2237</v>
      </c>
      <c r="B306" s="372" t="s">
        <v>2238</v>
      </c>
      <c r="C306" s="387" t="s">
        <v>2239</v>
      </c>
      <c r="D306" s="369" t="s">
        <v>1247</v>
      </c>
      <c r="E306" s="369"/>
      <c r="F306" s="370"/>
      <c r="G306" s="368" t="s">
        <v>2240</v>
      </c>
      <c r="H306" s="368"/>
    </row>
    <row r="307" spans="1:8" ht="16.5" customHeight="1">
      <c r="A307" s="368" t="s">
        <v>2241</v>
      </c>
      <c r="B307" s="368" t="s">
        <v>2242</v>
      </c>
      <c r="C307" s="387" t="s">
        <v>2243</v>
      </c>
      <c r="D307" s="369" t="s">
        <v>1247</v>
      </c>
      <c r="E307" s="369"/>
      <c r="F307" s="370"/>
      <c r="G307" s="368" t="s">
        <v>2240</v>
      </c>
      <c r="H307" s="368"/>
    </row>
    <row r="308" spans="1:8" ht="16.5" customHeight="1">
      <c r="A308" s="368" t="s">
        <v>2244</v>
      </c>
      <c r="B308" s="368" t="s">
        <v>2245</v>
      </c>
      <c r="C308" s="387" t="s">
        <v>2246</v>
      </c>
      <c r="D308" s="369" t="s">
        <v>1247</v>
      </c>
      <c r="E308" s="369"/>
      <c r="F308" s="370"/>
      <c r="G308" s="368" t="s">
        <v>2240</v>
      </c>
      <c r="H308" s="368"/>
    </row>
    <row r="309" spans="1:8" ht="16.5" customHeight="1">
      <c r="A309" s="368" t="s">
        <v>2247</v>
      </c>
      <c r="B309" s="372" t="s">
        <v>2248</v>
      </c>
      <c r="C309" s="387" t="s">
        <v>2249</v>
      </c>
      <c r="D309" s="369" t="s">
        <v>1247</v>
      </c>
      <c r="E309" s="369"/>
      <c r="F309" s="370"/>
      <c r="G309" s="368" t="s">
        <v>2240</v>
      </c>
      <c r="H309" s="368"/>
    </row>
    <row r="310" spans="1:8" ht="16.5" customHeight="1">
      <c r="A310" s="368" t="s">
        <v>2250</v>
      </c>
      <c r="B310" s="372" t="s">
        <v>2251</v>
      </c>
      <c r="C310" s="387" t="s">
        <v>2252</v>
      </c>
      <c r="D310" s="369" t="s">
        <v>1247</v>
      </c>
      <c r="E310" s="369"/>
      <c r="F310" s="370"/>
      <c r="G310" s="368" t="s">
        <v>2240</v>
      </c>
      <c r="H310" s="368"/>
    </row>
    <row r="311" spans="1:8" ht="16.5" customHeight="1">
      <c r="A311" s="368" t="s">
        <v>2253</v>
      </c>
      <c r="B311" s="373" t="s">
        <v>2253</v>
      </c>
      <c r="C311" s="387" t="s">
        <v>2254</v>
      </c>
      <c r="D311" s="369" t="s">
        <v>1247</v>
      </c>
      <c r="E311" s="369"/>
      <c r="F311" s="370"/>
      <c r="G311" s="368" t="s">
        <v>2240</v>
      </c>
      <c r="H311" s="368"/>
    </row>
    <row r="312" spans="1:8" ht="16.5" customHeight="1">
      <c r="A312" s="368" t="s">
        <v>2255</v>
      </c>
      <c r="B312" s="373" t="s">
        <v>2255</v>
      </c>
      <c r="C312" s="387" t="s">
        <v>2256</v>
      </c>
      <c r="D312" s="369" t="s">
        <v>1247</v>
      </c>
      <c r="E312" s="369"/>
      <c r="F312" s="370"/>
      <c r="G312" s="368" t="s">
        <v>2257</v>
      </c>
      <c r="H312" s="368"/>
    </row>
    <row r="313" spans="1:8" ht="16.5" customHeight="1">
      <c r="A313" s="368" t="s">
        <v>2258</v>
      </c>
      <c r="B313" s="373" t="s">
        <v>2258</v>
      </c>
      <c r="C313" s="387" t="s">
        <v>2259</v>
      </c>
      <c r="D313" s="369" t="s">
        <v>1247</v>
      </c>
      <c r="E313" s="369"/>
      <c r="F313" s="370"/>
      <c r="G313" s="368" t="s">
        <v>2260</v>
      </c>
      <c r="H313" s="368"/>
    </row>
    <row r="314" spans="1:8" ht="16.5" customHeight="1">
      <c r="A314" s="366" t="s">
        <v>2261</v>
      </c>
      <c r="B314" s="366" t="s">
        <v>2262</v>
      </c>
      <c r="C314" s="386" t="s">
        <v>2263</v>
      </c>
      <c r="D314" s="367" t="s">
        <v>1427</v>
      </c>
      <c r="E314" s="149"/>
      <c r="F314" s="139">
        <v>5</v>
      </c>
      <c r="G314" s="366" t="s">
        <v>2260</v>
      </c>
      <c r="H314" s="368"/>
    </row>
    <row r="315" spans="1:8" ht="16.5" customHeight="1">
      <c r="A315" s="368" t="s">
        <v>2264</v>
      </c>
      <c r="B315" s="372" t="s">
        <v>2265</v>
      </c>
      <c r="C315" s="387" t="s">
        <v>2266</v>
      </c>
      <c r="D315" s="369" t="s">
        <v>1247</v>
      </c>
      <c r="E315" s="369"/>
      <c r="F315" s="370">
        <v>3</v>
      </c>
      <c r="G315" s="368" t="s">
        <v>2260</v>
      </c>
      <c r="H315" s="368"/>
    </row>
    <row r="316" spans="1:8" ht="16.5" customHeight="1">
      <c r="A316" s="368" t="s">
        <v>2267</v>
      </c>
      <c r="B316" s="363" t="s">
        <v>2268</v>
      </c>
      <c r="C316" s="387" t="s">
        <v>2269</v>
      </c>
      <c r="D316" s="369" t="s">
        <v>1247</v>
      </c>
      <c r="E316" s="369"/>
      <c r="F316" s="370">
        <v>3</v>
      </c>
      <c r="G316" s="368" t="s">
        <v>2260</v>
      </c>
      <c r="H316" s="368"/>
    </row>
    <row r="317" spans="1:8" ht="16.5" customHeight="1">
      <c r="A317" s="368" t="s">
        <v>2270</v>
      </c>
      <c r="B317" s="368" t="s">
        <v>2271</v>
      </c>
      <c r="C317" s="387" t="s">
        <v>2272</v>
      </c>
      <c r="D317" s="369" t="s">
        <v>1247</v>
      </c>
      <c r="E317" s="369"/>
      <c r="F317" s="370"/>
      <c r="G317" s="368" t="s">
        <v>2260</v>
      </c>
      <c r="H317" s="368"/>
    </row>
    <row r="318" spans="1:8" ht="16.5" customHeight="1">
      <c r="A318" s="368" t="s">
        <v>2273</v>
      </c>
      <c r="B318" s="372" t="s">
        <v>2274</v>
      </c>
      <c r="C318" s="387" t="s">
        <v>2275</v>
      </c>
      <c r="D318" s="369" t="s">
        <v>1247</v>
      </c>
      <c r="E318" s="369"/>
      <c r="F318" s="370">
        <v>2</v>
      </c>
      <c r="G318" s="368" t="s">
        <v>2260</v>
      </c>
      <c r="H318" s="368"/>
    </row>
    <row r="319" spans="1:8" ht="16.5" customHeight="1">
      <c r="A319" s="368" t="s">
        <v>2276</v>
      </c>
      <c r="B319" s="373" t="s">
        <v>2276</v>
      </c>
      <c r="C319" s="387" t="s">
        <v>2277</v>
      </c>
      <c r="D319" s="369" t="s">
        <v>1247</v>
      </c>
      <c r="E319" s="369"/>
      <c r="F319" s="370"/>
      <c r="G319" s="368" t="s">
        <v>2260</v>
      </c>
      <c r="H319" s="368"/>
    </row>
    <row r="320" spans="1:8" ht="16.5" customHeight="1">
      <c r="A320" s="368" t="s">
        <v>2278</v>
      </c>
      <c r="B320" s="372" t="s">
        <v>2279</v>
      </c>
      <c r="C320" s="387" t="s">
        <v>2280</v>
      </c>
      <c r="D320" s="369" t="s">
        <v>1247</v>
      </c>
      <c r="E320" s="369"/>
      <c r="F320" s="370">
        <v>4</v>
      </c>
      <c r="G320" s="368" t="s">
        <v>2281</v>
      </c>
      <c r="H320" s="368"/>
    </row>
    <row r="321" spans="1:8" ht="16.5" customHeight="1">
      <c r="A321" s="368" t="s">
        <v>2282</v>
      </c>
      <c r="B321" s="363" t="s">
        <v>2283</v>
      </c>
      <c r="C321" s="387" t="s">
        <v>2284</v>
      </c>
      <c r="D321" s="369" t="s">
        <v>1427</v>
      </c>
      <c r="E321" s="368" t="s">
        <v>2285</v>
      </c>
      <c r="F321" s="370">
        <v>3</v>
      </c>
      <c r="G321" s="368" t="s">
        <v>2286</v>
      </c>
      <c r="H321" s="368"/>
    </row>
    <row r="322" spans="1:8" ht="16.5" customHeight="1">
      <c r="A322" s="368" t="s">
        <v>2287</v>
      </c>
      <c r="B322" s="372" t="s">
        <v>2288</v>
      </c>
      <c r="C322" s="387" t="s">
        <v>2289</v>
      </c>
      <c r="D322" s="369" t="s">
        <v>1247</v>
      </c>
      <c r="E322" s="369"/>
      <c r="F322" s="370">
        <v>3</v>
      </c>
      <c r="G322" s="368" t="s">
        <v>2290</v>
      </c>
      <c r="H322" s="368"/>
    </row>
    <row r="323" spans="1:8" ht="16.5" customHeight="1">
      <c r="A323" s="368" t="s">
        <v>2291</v>
      </c>
      <c r="B323" s="368" t="s">
        <v>2292</v>
      </c>
      <c r="C323" s="387" t="s">
        <v>2293</v>
      </c>
      <c r="D323" s="369" t="s">
        <v>1247</v>
      </c>
      <c r="E323" s="369"/>
      <c r="F323" s="370"/>
      <c r="G323" s="368" t="s">
        <v>2294</v>
      </c>
      <c r="H323" s="368"/>
    </row>
    <row r="324" spans="1:8" ht="16.5" customHeight="1">
      <c r="A324" s="368" t="s">
        <v>2295</v>
      </c>
      <c r="B324" s="379" t="s">
        <v>2296</v>
      </c>
      <c r="C324" s="387" t="s">
        <v>2297</v>
      </c>
      <c r="D324" s="369" t="s">
        <v>1247</v>
      </c>
      <c r="E324" s="369"/>
      <c r="F324" s="370">
        <v>3</v>
      </c>
      <c r="G324" s="368" t="s">
        <v>2298</v>
      </c>
      <c r="H324" s="368"/>
    </row>
    <row r="325" spans="1:8" ht="16.5" customHeight="1">
      <c r="A325" s="368" t="s">
        <v>2299</v>
      </c>
      <c r="B325" s="368" t="s">
        <v>2300</v>
      </c>
      <c r="C325" s="387" t="s">
        <v>2301</v>
      </c>
      <c r="D325" s="369" t="s">
        <v>1247</v>
      </c>
      <c r="E325" s="369"/>
      <c r="F325" s="370"/>
      <c r="G325" s="368" t="s">
        <v>2302</v>
      </c>
      <c r="H325" s="368"/>
    </row>
    <row r="326" spans="1:8" ht="16.5" customHeight="1">
      <c r="A326" s="368" t="s">
        <v>2303</v>
      </c>
      <c r="B326" s="373" t="s">
        <v>2303</v>
      </c>
      <c r="C326" s="387" t="s">
        <v>2304</v>
      </c>
      <c r="D326" s="369" t="s">
        <v>1247</v>
      </c>
      <c r="E326" s="369"/>
      <c r="F326" s="370"/>
      <c r="G326" s="368" t="s">
        <v>2305</v>
      </c>
      <c r="H326" s="368"/>
    </row>
    <row r="327" spans="1:8" ht="16.5" customHeight="1">
      <c r="A327" s="368" t="s">
        <v>2306</v>
      </c>
      <c r="B327" s="368" t="s">
        <v>2307</v>
      </c>
      <c r="C327" s="387" t="s">
        <v>2308</v>
      </c>
      <c r="D327" s="369" t="s">
        <v>1247</v>
      </c>
      <c r="E327" s="369"/>
      <c r="F327" s="370"/>
      <c r="G327" s="368" t="s">
        <v>2309</v>
      </c>
      <c r="H327" s="368"/>
    </row>
    <row r="328" spans="1:8" ht="16.5" customHeight="1">
      <c r="A328" s="368" t="s">
        <v>2310</v>
      </c>
      <c r="B328" s="363" t="s">
        <v>2311</v>
      </c>
      <c r="C328" s="387" t="s">
        <v>2312</v>
      </c>
      <c r="D328" s="369" t="s">
        <v>1247</v>
      </c>
      <c r="E328" s="369"/>
      <c r="F328" s="370">
        <v>3</v>
      </c>
      <c r="G328" s="368" t="s">
        <v>2313</v>
      </c>
      <c r="H328" s="368"/>
    </row>
    <row r="329" spans="1:8" ht="16.5" customHeight="1">
      <c r="A329" s="368" t="s">
        <v>2314</v>
      </c>
      <c r="B329" s="363" t="s">
        <v>2315</v>
      </c>
      <c r="C329" s="387" t="s">
        <v>2316</v>
      </c>
      <c r="D329" s="369" t="s">
        <v>1247</v>
      </c>
      <c r="E329" s="369"/>
      <c r="F329" s="370">
        <v>4</v>
      </c>
      <c r="G329" s="368" t="s">
        <v>2313</v>
      </c>
      <c r="H329" s="368"/>
    </row>
    <row r="330" spans="1:8" ht="16.5" customHeight="1">
      <c r="A330" s="368" t="s">
        <v>2317</v>
      </c>
      <c r="B330" s="243" t="s">
        <v>2318</v>
      </c>
      <c r="C330" s="387" t="s">
        <v>2319</v>
      </c>
      <c r="D330" s="149" t="s">
        <v>1650</v>
      </c>
      <c r="E330" s="369"/>
      <c r="F330" s="370">
        <v>5</v>
      </c>
      <c r="G330" s="368" t="s">
        <v>2320</v>
      </c>
      <c r="H330" s="368"/>
    </row>
    <row r="331" spans="1:8" ht="16.5" customHeight="1">
      <c r="A331" s="368" t="s">
        <v>2321</v>
      </c>
      <c r="B331" s="363" t="s">
        <v>2322</v>
      </c>
      <c r="C331" s="387" t="s">
        <v>2323</v>
      </c>
      <c r="D331" s="369" t="s">
        <v>1427</v>
      </c>
      <c r="E331" s="369"/>
      <c r="F331" s="370">
        <v>5</v>
      </c>
      <c r="G331" s="368" t="s">
        <v>2320</v>
      </c>
      <c r="H331" s="368"/>
    </row>
    <row r="332" spans="1:8" ht="16.5" customHeight="1">
      <c r="A332" s="368" t="s">
        <v>2324</v>
      </c>
      <c r="B332" s="368" t="s">
        <v>2325</v>
      </c>
      <c r="C332" s="387" t="s">
        <v>2326</v>
      </c>
      <c r="D332" s="369" t="s">
        <v>1247</v>
      </c>
      <c r="E332" s="369"/>
      <c r="F332" s="370"/>
      <c r="G332" s="368" t="s">
        <v>2320</v>
      </c>
      <c r="H332" s="368"/>
    </row>
    <row r="333" spans="1:8" ht="16.5" customHeight="1">
      <c r="A333" s="368" t="s">
        <v>2327</v>
      </c>
      <c r="B333" s="373" t="s">
        <v>2327</v>
      </c>
      <c r="C333" s="387" t="s">
        <v>2328</v>
      </c>
      <c r="D333" s="369" t="s">
        <v>1247</v>
      </c>
      <c r="E333" s="369"/>
      <c r="F333" s="370">
        <v>4</v>
      </c>
      <c r="G333" s="368" t="s">
        <v>2320</v>
      </c>
      <c r="H333" s="368"/>
    </row>
    <row r="334" spans="1:8" ht="16.5" customHeight="1">
      <c r="A334" s="368" t="s">
        <v>2329</v>
      </c>
      <c r="B334" s="371" t="s">
        <v>2330</v>
      </c>
      <c r="C334" s="387" t="s">
        <v>2331</v>
      </c>
      <c r="D334" s="369" t="s">
        <v>1247</v>
      </c>
      <c r="E334" s="369" t="s">
        <v>2332</v>
      </c>
      <c r="F334" s="370">
        <v>4</v>
      </c>
      <c r="G334" s="368" t="s">
        <v>2320</v>
      </c>
      <c r="H334" s="368"/>
    </row>
    <row r="335" spans="1:8" ht="16.5" customHeight="1">
      <c r="A335" s="368" t="s">
        <v>2333</v>
      </c>
      <c r="B335" s="363" t="s">
        <v>2334</v>
      </c>
      <c r="C335" s="387" t="s">
        <v>2335</v>
      </c>
      <c r="D335" s="369" t="s">
        <v>1247</v>
      </c>
      <c r="E335" s="369"/>
      <c r="F335" s="370"/>
      <c r="G335" s="368" t="s">
        <v>2336</v>
      </c>
      <c r="H335" s="368"/>
    </row>
    <row r="336" spans="1:8" ht="16.5" customHeight="1">
      <c r="A336" s="368" t="s">
        <v>2337</v>
      </c>
      <c r="B336" s="363" t="s">
        <v>2338</v>
      </c>
      <c r="C336" s="387" t="s">
        <v>2339</v>
      </c>
      <c r="D336" s="369" t="s">
        <v>1247</v>
      </c>
      <c r="E336" s="369"/>
      <c r="F336" s="370"/>
      <c r="G336" s="368" t="s">
        <v>2340</v>
      </c>
      <c r="H336" s="368"/>
    </row>
    <row r="337" spans="1:8" ht="16.5" customHeight="1">
      <c r="A337" s="366" t="s">
        <v>2341</v>
      </c>
      <c r="B337" s="366" t="s">
        <v>2342</v>
      </c>
      <c r="C337" s="394" t="s">
        <v>2343</v>
      </c>
      <c r="D337" s="149" t="s">
        <v>1247</v>
      </c>
      <c r="E337" s="149"/>
      <c r="F337" s="139">
        <v>5</v>
      </c>
      <c r="G337" s="368" t="s">
        <v>2340</v>
      </c>
      <c r="H337" s="368"/>
    </row>
    <row r="338" spans="1:8" ht="16.5" customHeight="1">
      <c r="A338" s="368" t="s">
        <v>2344</v>
      </c>
      <c r="B338" s="371" t="s">
        <v>2345</v>
      </c>
      <c r="C338" s="387" t="s">
        <v>2346</v>
      </c>
      <c r="D338" s="369" t="s">
        <v>1427</v>
      </c>
      <c r="E338" s="369" t="s">
        <v>2347</v>
      </c>
      <c r="F338" s="370">
        <v>5</v>
      </c>
      <c r="G338" s="368" t="s">
        <v>2340</v>
      </c>
      <c r="H338" s="368"/>
    </row>
    <row r="339" spans="1:8" ht="16.5" customHeight="1">
      <c r="A339" s="368" t="s">
        <v>2348</v>
      </c>
      <c r="B339" s="363" t="s">
        <v>2349</v>
      </c>
      <c r="C339" s="387" t="s">
        <v>2350</v>
      </c>
      <c r="D339" s="369" t="s">
        <v>1247</v>
      </c>
      <c r="E339" s="369"/>
      <c r="F339" s="370"/>
      <c r="G339" s="368" t="s">
        <v>2340</v>
      </c>
      <c r="H339" s="368"/>
    </row>
    <row r="340" spans="1:8" ht="16.5" customHeight="1">
      <c r="A340" s="368" t="s">
        <v>2351</v>
      </c>
      <c r="B340" s="363" t="s">
        <v>2352</v>
      </c>
      <c r="C340" s="387" t="s">
        <v>2353</v>
      </c>
      <c r="D340" s="369" t="s">
        <v>1247</v>
      </c>
      <c r="E340" s="369"/>
      <c r="F340" s="370">
        <v>5</v>
      </c>
      <c r="G340" s="368" t="s">
        <v>2340</v>
      </c>
      <c r="H340" s="368"/>
    </row>
    <row r="341" spans="1:8" ht="16.5" customHeight="1">
      <c r="A341" s="368" t="s">
        <v>2354</v>
      </c>
      <c r="B341" s="363" t="s">
        <v>2355</v>
      </c>
      <c r="C341" s="387" t="s">
        <v>2356</v>
      </c>
      <c r="D341" s="369" t="s">
        <v>1247</v>
      </c>
      <c r="E341" s="369"/>
      <c r="F341" s="370"/>
      <c r="G341" s="368" t="s">
        <v>2340</v>
      </c>
      <c r="H341" s="368"/>
    </row>
    <row r="342" spans="1:8" ht="16.5" customHeight="1">
      <c r="A342" s="368" t="s">
        <v>2357</v>
      </c>
      <c r="B342" s="373" t="s">
        <v>2358</v>
      </c>
      <c r="C342" s="387" t="s">
        <v>2359</v>
      </c>
      <c r="D342" s="369" t="s">
        <v>1247</v>
      </c>
      <c r="E342" s="369"/>
      <c r="F342" s="370">
        <v>5</v>
      </c>
      <c r="G342" s="368" t="s">
        <v>2340</v>
      </c>
      <c r="H342" s="368"/>
    </row>
    <row r="343" spans="1:8" ht="16.5" customHeight="1">
      <c r="A343" s="368" t="s">
        <v>2360</v>
      </c>
      <c r="B343" s="373" t="s">
        <v>2361</v>
      </c>
      <c r="C343" s="387" t="s">
        <v>2353</v>
      </c>
      <c r="D343" s="369" t="s">
        <v>1247</v>
      </c>
      <c r="E343" s="369"/>
      <c r="F343" s="370">
        <v>5</v>
      </c>
      <c r="G343" s="368" t="s">
        <v>2340</v>
      </c>
      <c r="H343" s="368"/>
    </row>
    <row r="344" spans="1:8" ht="16.5" customHeight="1">
      <c r="A344" s="368" t="s">
        <v>2362</v>
      </c>
      <c r="B344" s="363" t="s">
        <v>2363</v>
      </c>
      <c r="C344" s="387" t="s">
        <v>2353</v>
      </c>
      <c r="D344" s="369" t="s">
        <v>1247</v>
      </c>
      <c r="E344" s="369"/>
      <c r="F344" s="370"/>
      <c r="G344" s="368" t="s">
        <v>2340</v>
      </c>
      <c r="H344" s="368"/>
    </row>
    <row r="345" spans="1:8" ht="16.5" customHeight="1">
      <c r="A345" s="368" t="s">
        <v>2364</v>
      </c>
      <c r="B345" s="363" t="s">
        <v>2365</v>
      </c>
      <c r="C345" s="387" t="s">
        <v>2353</v>
      </c>
      <c r="D345" s="369" t="s">
        <v>1247</v>
      </c>
      <c r="E345" s="369"/>
      <c r="F345" s="370"/>
      <c r="G345" s="368" t="s">
        <v>2340</v>
      </c>
      <c r="H345" s="368"/>
    </row>
    <row r="346" spans="1:8" ht="16.5" customHeight="1">
      <c r="A346" s="368" t="s">
        <v>2366</v>
      </c>
      <c r="B346" s="373" t="s">
        <v>2366</v>
      </c>
      <c r="C346" s="387" t="s">
        <v>2367</v>
      </c>
      <c r="D346" s="369" t="s">
        <v>1247</v>
      </c>
      <c r="E346" s="369"/>
      <c r="F346" s="370"/>
      <c r="G346" s="368" t="s">
        <v>2368</v>
      </c>
      <c r="H346" s="368"/>
    </row>
    <row r="347" spans="1:8" ht="16.5" customHeight="1">
      <c r="A347" s="366" t="s">
        <v>2369</v>
      </c>
      <c r="B347" s="366" t="s">
        <v>2370</v>
      </c>
      <c r="C347" s="386" t="s">
        <v>2371</v>
      </c>
      <c r="D347" s="367" t="s">
        <v>1247</v>
      </c>
      <c r="E347" s="149"/>
      <c r="F347" s="139"/>
      <c r="G347" s="366" t="s">
        <v>2372</v>
      </c>
      <c r="H347" s="368"/>
    </row>
    <row r="348" spans="1:8" ht="16.5" customHeight="1">
      <c r="A348" s="366" t="s">
        <v>2373</v>
      </c>
      <c r="B348" s="366" t="s">
        <v>2374</v>
      </c>
      <c r="C348" s="386" t="s">
        <v>2375</v>
      </c>
      <c r="D348" s="367" t="s">
        <v>1247</v>
      </c>
      <c r="E348" s="149"/>
      <c r="F348" s="139"/>
      <c r="G348" s="366" t="s">
        <v>2372</v>
      </c>
      <c r="H348" s="368"/>
    </row>
    <row r="349" spans="1:8" ht="16.5" customHeight="1">
      <c r="A349" s="368" t="s">
        <v>2376</v>
      </c>
      <c r="B349" s="363" t="s">
        <v>2377</v>
      </c>
      <c r="C349" s="387" t="s">
        <v>2378</v>
      </c>
      <c r="D349" s="369" t="s">
        <v>1247</v>
      </c>
      <c r="E349" s="369"/>
      <c r="F349" s="370">
        <v>4</v>
      </c>
      <c r="G349" s="368" t="s">
        <v>2379</v>
      </c>
      <c r="H349" s="368"/>
    </row>
    <row r="350" spans="1:8" ht="16.5" customHeight="1">
      <c r="A350" s="366" t="s">
        <v>2380</v>
      </c>
      <c r="B350" s="366" t="s">
        <v>2381</v>
      </c>
      <c r="C350" s="386" t="s">
        <v>2382</v>
      </c>
      <c r="D350" s="367" t="s">
        <v>1247</v>
      </c>
      <c r="E350" s="149"/>
      <c r="F350" s="139"/>
      <c r="G350" s="366" t="s">
        <v>2383</v>
      </c>
      <c r="H350" s="368"/>
    </row>
    <row r="351" spans="1:8" ht="16.5" customHeight="1">
      <c r="A351" s="366" t="s">
        <v>2384</v>
      </c>
      <c r="B351" s="366" t="s">
        <v>2385</v>
      </c>
      <c r="C351" s="386" t="s">
        <v>2386</v>
      </c>
      <c r="D351" s="367" t="s">
        <v>1427</v>
      </c>
      <c r="E351" s="149"/>
      <c r="F351" s="139">
        <v>5</v>
      </c>
      <c r="G351" s="366" t="s">
        <v>2383</v>
      </c>
      <c r="H351" s="368"/>
    </row>
    <row r="352" spans="1:8" ht="16.5" customHeight="1">
      <c r="A352" s="368" t="s">
        <v>2387</v>
      </c>
      <c r="B352" s="382" t="s">
        <v>2387</v>
      </c>
      <c r="C352" s="387" t="s">
        <v>2388</v>
      </c>
      <c r="D352" s="369" t="s">
        <v>1247</v>
      </c>
      <c r="E352" s="369"/>
      <c r="F352" s="370"/>
      <c r="G352" s="368" t="s">
        <v>2389</v>
      </c>
      <c r="H352" s="368"/>
    </row>
    <row r="353" spans="1:8" ht="16.5" customHeight="1">
      <c r="A353" s="368" t="s">
        <v>2390</v>
      </c>
      <c r="B353" s="373" t="s">
        <v>2390</v>
      </c>
      <c r="C353" s="387" t="s">
        <v>2391</v>
      </c>
      <c r="D353" s="369" t="s">
        <v>1247</v>
      </c>
      <c r="E353" s="369"/>
      <c r="F353" s="370"/>
      <c r="G353" s="368" t="s">
        <v>2389</v>
      </c>
      <c r="H353" s="368"/>
    </row>
    <row r="354" spans="1:8" ht="16.5" customHeight="1">
      <c r="A354" s="368" t="s">
        <v>2392</v>
      </c>
      <c r="B354" s="373" t="s">
        <v>2392</v>
      </c>
      <c r="C354" s="387" t="s">
        <v>2393</v>
      </c>
      <c r="D354" s="369" t="s">
        <v>1247</v>
      </c>
      <c r="E354" s="369"/>
      <c r="F354" s="370"/>
      <c r="G354" s="368" t="s">
        <v>2394</v>
      </c>
      <c r="H354" s="368"/>
    </row>
    <row r="355" spans="1:8" ht="16.5" customHeight="1">
      <c r="A355" s="368" t="s">
        <v>2395</v>
      </c>
      <c r="B355" s="373" t="s">
        <v>2395</v>
      </c>
      <c r="C355" s="387" t="s">
        <v>2396</v>
      </c>
      <c r="D355" s="369" t="s">
        <v>1247</v>
      </c>
      <c r="E355" s="369"/>
      <c r="F355" s="370"/>
      <c r="G355" s="368" t="s">
        <v>2397</v>
      </c>
      <c r="H355" s="368"/>
    </row>
    <row r="356" spans="1:8" ht="16.5" customHeight="1">
      <c r="A356" s="368" t="s">
        <v>2398</v>
      </c>
      <c r="B356" s="373" t="s">
        <v>2398</v>
      </c>
      <c r="C356" s="387" t="s">
        <v>2399</v>
      </c>
      <c r="D356" s="369" t="s">
        <v>1247</v>
      </c>
      <c r="E356" s="369"/>
      <c r="F356" s="370"/>
      <c r="G356" s="368" t="s">
        <v>2397</v>
      </c>
      <c r="H356" s="368"/>
    </row>
    <row r="357" spans="1:8" ht="16.5" customHeight="1">
      <c r="A357" s="368" t="s">
        <v>2400</v>
      </c>
      <c r="B357" s="373" t="s">
        <v>2400</v>
      </c>
      <c r="C357" s="387" t="s">
        <v>2401</v>
      </c>
      <c r="D357" s="369" t="s">
        <v>1247</v>
      </c>
      <c r="E357" s="369"/>
      <c r="F357" s="370"/>
      <c r="G357" s="368" t="s">
        <v>2397</v>
      </c>
      <c r="H357" s="368"/>
    </row>
    <row r="358" spans="1:8" ht="16.5" customHeight="1">
      <c r="A358" s="368" t="s">
        <v>2402</v>
      </c>
      <c r="B358" s="373" t="s">
        <v>2402</v>
      </c>
      <c r="C358" s="387" t="s">
        <v>2403</v>
      </c>
      <c r="D358" s="369" t="s">
        <v>1247</v>
      </c>
      <c r="E358" s="369"/>
      <c r="F358" s="370"/>
      <c r="G358" s="368" t="s">
        <v>2397</v>
      </c>
      <c r="H358" s="368"/>
    </row>
    <row r="359" spans="1:8" ht="16.5" customHeight="1">
      <c r="A359" s="366" t="s">
        <v>2404</v>
      </c>
      <c r="B359" s="366" t="s">
        <v>2405</v>
      </c>
      <c r="C359" s="386" t="s">
        <v>2406</v>
      </c>
      <c r="D359" s="367" t="s">
        <v>1247</v>
      </c>
      <c r="E359" s="149"/>
      <c r="F359" s="139"/>
      <c r="G359" s="366" t="s">
        <v>2397</v>
      </c>
      <c r="H359" s="368"/>
    </row>
    <row r="360" spans="1:8" ht="16.5" customHeight="1">
      <c r="A360" s="366" t="s">
        <v>2407</v>
      </c>
      <c r="B360" s="365" t="s">
        <v>2408</v>
      </c>
      <c r="C360" s="386" t="s">
        <v>2409</v>
      </c>
      <c r="D360" s="367" t="s">
        <v>1247</v>
      </c>
      <c r="E360" s="149" t="s">
        <v>2410</v>
      </c>
      <c r="F360" s="139"/>
      <c r="G360" s="366" t="s">
        <v>2411</v>
      </c>
      <c r="H360" s="368"/>
    </row>
    <row r="361" spans="1:8" ht="16.5" customHeight="1">
      <c r="A361" s="368" t="s">
        <v>2412</v>
      </c>
      <c r="B361" s="368" t="s">
        <v>2413</v>
      </c>
      <c r="C361" s="387" t="s">
        <v>2414</v>
      </c>
      <c r="D361" s="369" t="s">
        <v>1247</v>
      </c>
      <c r="E361" s="369"/>
      <c r="F361" s="370"/>
      <c r="G361" s="368" t="s">
        <v>2415</v>
      </c>
      <c r="H361" s="368"/>
    </row>
    <row r="362" spans="1:8" ht="16.5" customHeight="1">
      <c r="A362" s="368" t="s">
        <v>2416</v>
      </c>
      <c r="B362" s="368" t="s">
        <v>2417</v>
      </c>
      <c r="C362" s="387" t="s">
        <v>2418</v>
      </c>
      <c r="D362" s="369" t="s">
        <v>1247</v>
      </c>
      <c r="E362" s="369"/>
      <c r="F362" s="370"/>
      <c r="G362" s="368" t="s">
        <v>2415</v>
      </c>
      <c r="H362" s="368"/>
    </row>
    <row r="363" spans="1:8" ht="16.5" customHeight="1">
      <c r="A363" s="368" t="s">
        <v>2419</v>
      </c>
      <c r="B363" s="368" t="s">
        <v>2420</v>
      </c>
      <c r="C363" s="387" t="s">
        <v>2421</v>
      </c>
      <c r="D363" s="369" t="s">
        <v>1247</v>
      </c>
      <c r="E363" s="369"/>
      <c r="F363" s="370"/>
      <c r="G363" s="368" t="s">
        <v>2415</v>
      </c>
      <c r="H363" s="368"/>
    </row>
    <row r="364" spans="1:8" ht="16.5" customHeight="1">
      <c r="A364" s="368" t="s">
        <v>2422</v>
      </c>
      <c r="B364" s="368" t="s">
        <v>2423</v>
      </c>
      <c r="C364" s="387" t="s">
        <v>2424</v>
      </c>
      <c r="D364" s="369" t="s">
        <v>1247</v>
      </c>
      <c r="E364" s="369"/>
      <c r="F364" s="370"/>
      <c r="G364" s="368" t="s">
        <v>2415</v>
      </c>
      <c r="H364" s="368"/>
    </row>
    <row r="365" spans="1:8" ht="16.5" customHeight="1">
      <c r="A365" s="366" t="s">
        <v>2425</v>
      </c>
      <c r="B365" s="243" t="s">
        <v>2426</v>
      </c>
      <c r="C365" s="395" t="s">
        <v>2427</v>
      </c>
      <c r="D365" s="369" t="s">
        <v>1247</v>
      </c>
      <c r="E365" s="149"/>
      <c r="F365" s="139"/>
      <c r="G365" s="366" t="s">
        <v>2428</v>
      </c>
      <c r="H365" s="368"/>
    </row>
    <row r="366" spans="1:8" ht="16.5" customHeight="1">
      <c r="A366" s="368" t="s">
        <v>2429</v>
      </c>
      <c r="B366" s="373" t="s">
        <v>2429</v>
      </c>
      <c r="C366" s="387" t="s">
        <v>2430</v>
      </c>
      <c r="D366" s="369" t="s">
        <v>1247</v>
      </c>
      <c r="E366" s="369"/>
      <c r="F366" s="370"/>
      <c r="G366" s="368" t="s">
        <v>2428</v>
      </c>
      <c r="H366" s="368"/>
    </row>
    <row r="367" spans="1:8" ht="16.5" customHeight="1">
      <c r="A367" s="368" t="s">
        <v>2431</v>
      </c>
      <c r="B367" s="368" t="s">
        <v>2432</v>
      </c>
      <c r="C367" s="387" t="s">
        <v>2433</v>
      </c>
      <c r="D367" s="369" t="s">
        <v>1247</v>
      </c>
      <c r="E367" s="369"/>
      <c r="F367" s="370"/>
      <c r="G367" s="368" t="s">
        <v>2415</v>
      </c>
      <c r="H367" s="368"/>
    </row>
    <row r="368" spans="1:8" ht="16.5" customHeight="1">
      <c r="A368" s="368" t="s">
        <v>2434</v>
      </c>
      <c r="B368" s="368" t="s">
        <v>2435</v>
      </c>
      <c r="C368" s="387" t="s">
        <v>2436</v>
      </c>
      <c r="D368" s="369" t="s">
        <v>1247</v>
      </c>
      <c r="E368" s="369"/>
      <c r="F368" s="370"/>
      <c r="G368" s="368" t="s">
        <v>2415</v>
      </c>
      <c r="H368" s="368"/>
    </row>
    <row r="369" spans="1:8" ht="16.5" customHeight="1">
      <c r="A369" s="368" t="s">
        <v>2437</v>
      </c>
      <c r="B369" s="368" t="s">
        <v>2438</v>
      </c>
      <c r="C369" s="387" t="s">
        <v>2439</v>
      </c>
      <c r="D369" s="369" t="s">
        <v>1247</v>
      </c>
      <c r="E369" s="369"/>
      <c r="F369" s="370"/>
      <c r="G369" s="368" t="s">
        <v>2415</v>
      </c>
      <c r="H369" s="368"/>
    </row>
    <row r="370" spans="1:8" ht="16.5" customHeight="1">
      <c r="A370" s="366" t="s">
        <v>2440</v>
      </c>
      <c r="B370" s="366" t="s">
        <v>2441</v>
      </c>
      <c r="C370" s="386" t="s">
        <v>2442</v>
      </c>
      <c r="D370" s="367" t="s">
        <v>1247</v>
      </c>
      <c r="E370" s="149"/>
      <c r="F370" s="139"/>
      <c r="G370" s="366" t="s">
        <v>2415</v>
      </c>
      <c r="H370" s="368"/>
    </row>
    <row r="371" spans="1:8" ht="16.5" customHeight="1">
      <c r="A371" s="368" t="s">
        <v>2443</v>
      </c>
      <c r="B371" s="368" t="s">
        <v>2444</v>
      </c>
      <c r="C371" s="387" t="s">
        <v>2445</v>
      </c>
      <c r="D371" s="369" t="s">
        <v>1247</v>
      </c>
      <c r="E371" s="369"/>
      <c r="F371" s="370"/>
      <c r="G371" s="368" t="s">
        <v>2415</v>
      </c>
      <c r="H371" s="368"/>
    </row>
    <row r="372" spans="1:8" ht="16.5" customHeight="1">
      <c r="A372" s="368" t="s">
        <v>2446</v>
      </c>
      <c r="B372" s="368" t="s">
        <v>2447</v>
      </c>
      <c r="C372" s="387" t="s">
        <v>2448</v>
      </c>
      <c r="D372" s="369" t="s">
        <v>1247</v>
      </c>
      <c r="E372" s="369"/>
      <c r="F372" s="370">
        <v>3</v>
      </c>
      <c r="G372" s="368" t="s">
        <v>2415</v>
      </c>
      <c r="H372" s="368"/>
    </row>
    <row r="373" spans="1:8" ht="16.5" customHeight="1">
      <c r="A373" s="368" t="s">
        <v>2449</v>
      </c>
      <c r="B373" s="368" t="s">
        <v>2450</v>
      </c>
      <c r="C373" s="387" t="s">
        <v>2451</v>
      </c>
      <c r="D373" s="369" t="s">
        <v>1247</v>
      </c>
      <c r="E373" s="369"/>
      <c r="F373" s="370"/>
      <c r="G373" s="368" t="s">
        <v>2415</v>
      </c>
      <c r="H373" s="368"/>
    </row>
    <row r="374" spans="1:8" ht="16.5" customHeight="1">
      <c r="A374" s="368" t="s">
        <v>2452</v>
      </c>
      <c r="B374" s="368" t="s">
        <v>2453</v>
      </c>
      <c r="C374" s="387" t="s">
        <v>2454</v>
      </c>
      <c r="D374" s="369" t="s">
        <v>1247</v>
      </c>
      <c r="E374" s="369"/>
      <c r="F374" s="370"/>
      <c r="G374" s="368" t="s">
        <v>2415</v>
      </c>
      <c r="H374" s="368"/>
    </row>
    <row r="375" spans="1:8" ht="16.5" customHeight="1">
      <c r="A375" s="368" t="s">
        <v>2455</v>
      </c>
      <c r="B375" s="368" t="s">
        <v>2456</v>
      </c>
      <c r="C375" s="387" t="s">
        <v>2457</v>
      </c>
      <c r="D375" s="369" t="s">
        <v>1247</v>
      </c>
      <c r="E375" s="369"/>
      <c r="F375" s="370"/>
      <c r="G375" s="368" t="s">
        <v>2415</v>
      </c>
      <c r="H375" s="366"/>
    </row>
    <row r="376" spans="1:8" ht="16.5" customHeight="1">
      <c r="A376" s="368" t="s">
        <v>2458</v>
      </c>
      <c r="B376" s="368" t="s">
        <v>2459</v>
      </c>
      <c r="C376" s="387" t="s">
        <v>2460</v>
      </c>
      <c r="D376" s="369" t="s">
        <v>1247</v>
      </c>
      <c r="E376" s="369"/>
      <c r="F376" s="370"/>
      <c r="G376" s="368" t="s">
        <v>2415</v>
      </c>
      <c r="H376" s="366"/>
    </row>
    <row r="377" spans="1:8" ht="16.5" customHeight="1">
      <c r="A377" s="368" t="s">
        <v>2461</v>
      </c>
      <c r="B377" s="368" t="s">
        <v>2462</v>
      </c>
      <c r="C377" s="387" t="s">
        <v>2463</v>
      </c>
      <c r="D377" s="369" t="s">
        <v>1247</v>
      </c>
      <c r="E377" s="369"/>
      <c r="F377" s="370"/>
      <c r="G377" s="368" t="s">
        <v>2415</v>
      </c>
      <c r="H377" s="366"/>
    </row>
    <row r="378" spans="1:8" ht="16.5" customHeight="1">
      <c r="A378" s="368" t="s">
        <v>2464</v>
      </c>
      <c r="B378" s="368" t="s">
        <v>2465</v>
      </c>
      <c r="C378" s="387" t="s">
        <v>2466</v>
      </c>
      <c r="D378" s="369" t="s">
        <v>1247</v>
      </c>
      <c r="E378" s="369"/>
      <c r="F378" s="370"/>
      <c r="G378" s="368" t="s">
        <v>2415</v>
      </c>
      <c r="H378" s="366"/>
    </row>
    <row r="379" spans="1:8" ht="16.5" customHeight="1">
      <c r="A379" s="368" t="s">
        <v>2467</v>
      </c>
      <c r="B379" s="368" t="s">
        <v>2468</v>
      </c>
      <c r="C379" s="387" t="s">
        <v>2469</v>
      </c>
      <c r="D379" s="369" t="s">
        <v>1247</v>
      </c>
      <c r="E379" s="369"/>
      <c r="F379" s="370"/>
      <c r="G379" s="368" t="s">
        <v>2415</v>
      </c>
      <c r="H379" s="366"/>
    </row>
    <row r="380" spans="1:8" ht="16.5" customHeight="1">
      <c r="A380" s="368" t="s">
        <v>2470</v>
      </c>
      <c r="B380" s="368" t="s">
        <v>2471</v>
      </c>
      <c r="C380" s="387" t="s">
        <v>2472</v>
      </c>
      <c r="D380" s="369" t="s">
        <v>1247</v>
      </c>
      <c r="E380" s="369"/>
      <c r="F380" s="370"/>
      <c r="G380" s="368" t="s">
        <v>2415</v>
      </c>
      <c r="H380" s="366"/>
    </row>
    <row r="381" spans="1:8" ht="16.5" customHeight="1">
      <c r="A381" s="368" t="s">
        <v>2473</v>
      </c>
      <c r="B381" s="379" t="s">
        <v>2474</v>
      </c>
      <c r="C381" s="387" t="s">
        <v>2475</v>
      </c>
      <c r="D381" s="369" t="s">
        <v>1247</v>
      </c>
      <c r="E381" s="369"/>
      <c r="F381" s="370"/>
      <c r="G381" s="368" t="s">
        <v>2415</v>
      </c>
      <c r="H381" s="366"/>
    </row>
    <row r="382" spans="1:8" ht="16.5" customHeight="1">
      <c r="A382" s="368" t="s">
        <v>2476</v>
      </c>
      <c r="B382" s="368" t="s">
        <v>2477</v>
      </c>
      <c r="C382" s="387" t="s">
        <v>2478</v>
      </c>
      <c r="D382" s="369" t="s">
        <v>1247</v>
      </c>
      <c r="E382" s="369"/>
      <c r="F382" s="370"/>
      <c r="G382" s="368" t="s">
        <v>2415</v>
      </c>
      <c r="H382" s="366"/>
    </row>
    <row r="383" spans="1:8" ht="16.5" customHeight="1">
      <c r="A383" s="368" t="s">
        <v>2479</v>
      </c>
      <c r="B383" s="368" t="s">
        <v>2480</v>
      </c>
      <c r="C383" s="387" t="s">
        <v>2481</v>
      </c>
      <c r="D383" s="369" t="s">
        <v>1247</v>
      </c>
      <c r="E383" s="369"/>
      <c r="F383" s="370"/>
      <c r="G383" s="368" t="s">
        <v>2415</v>
      </c>
      <c r="H383" s="366"/>
    </row>
    <row r="384" spans="1:8" ht="16.5" customHeight="1">
      <c r="A384" s="368" t="s">
        <v>2482</v>
      </c>
      <c r="B384" s="368" t="s">
        <v>2483</v>
      </c>
      <c r="C384" s="387" t="s">
        <v>2484</v>
      </c>
      <c r="D384" s="369" t="s">
        <v>1247</v>
      </c>
      <c r="E384" s="369"/>
      <c r="F384" s="370"/>
      <c r="G384" s="368" t="s">
        <v>2415</v>
      </c>
      <c r="H384" s="366"/>
    </row>
    <row r="385" spans="1:8" ht="16.5" customHeight="1">
      <c r="A385" s="368" t="s">
        <v>2485</v>
      </c>
      <c r="B385" s="368" t="s">
        <v>2486</v>
      </c>
      <c r="C385" s="387" t="s">
        <v>2487</v>
      </c>
      <c r="D385" s="369" t="s">
        <v>1247</v>
      </c>
      <c r="E385" s="369"/>
      <c r="F385" s="370"/>
      <c r="G385" s="368" t="s">
        <v>2415</v>
      </c>
      <c r="H385" s="366"/>
    </row>
    <row r="386" spans="1:8" ht="16.5" customHeight="1">
      <c r="A386" s="368" t="s">
        <v>2488</v>
      </c>
      <c r="B386" s="368" t="s">
        <v>2489</v>
      </c>
      <c r="C386" s="387" t="s">
        <v>2490</v>
      </c>
      <c r="D386" s="369" t="s">
        <v>1247</v>
      </c>
      <c r="E386" s="369"/>
      <c r="F386" s="370"/>
      <c r="G386" s="368" t="s">
        <v>2415</v>
      </c>
      <c r="H386" s="366"/>
    </row>
    <row r="387" spans="1:8" ht="16.5" customHeight="1">
      <c r="A387" s="368" t="s">
        <v>2491</v>
      </c>
      <c r="B387" s="368" t="s">
        <v>2492</v>
      </c>
      <c r="C387" s="387" t="s">
        <v>2493</v>
      </c>
      <c r="D387" s="369" t="s">
        <v>1247</v>
      </c>
      <c r="E387" s="369"/>
      <c r="F387" s="370"/>
      <c r="G387" s="368" t="s">
        <v>2415</v>
      </c>
      <c r="H387" s="366"/>
    </row>
    <row r="388" spans="1:8" ht="16.5" customHeight="1">
      <c r="A388" s="368" t="s">
        <v>2494</v>
      </c>
      <c r="B388" s="368" t="s">
        <v>2495</v>
      </c>
      <c r="C388" s="387" t="s">
        <v>2496</v>
      </c>
      <c r="D388" s="369" t="s">
        <v>1247</v>
      </c>
      <c r="E388" s="369"/>
      <c r="F388" s="370"/>
      <c r="G388" s="368" t="s">
        <v>2415</v>
      </c>
      <c r="H388" s="366"/>
    </row>
    <row r="389" spans="1:8" ht="16.5" customHeight="1">
      <c r="A389" s="368" t="s">
        <v>2497</v>
      </c>
      <c r="B389" s="368" t="s">
        <v>2498</v>
      </c>
      <c r="C389" s="387" t="s">
        <v>2499</v>
      </c>
      <c r="D389" s="369" t="s">
        <v>1247</v>
      </c>
      <c r="E389" s="369"/>
      <c r="F389" s="370"/>
      <c r="G389" s="368" t="s">
        <v>2415</v>
      </c>
      <c r="H389" s="366"/>
    </row>
    <row r="390" spans="1:8" ht="16.5" customHeight="1">
      <c r="A390" s="368" t="s">
        <v>2500</v>
      </c>
      <c r="B390" s="368" t="s">
        <v>2501</v>
      </c>
      <c r="C390" s="387" t="s">
        <v>2502</v>
      </c>
      <c r="D390" s="369" t="s">
        <v>1247</v>
      </c>
      <c r="E390" s="369"/>
      <c r="F390" s="370"/>
      <c r="G390" s="368" t="s">
        <v>2415</v>
      </c>
      <c r="H390" s="366"/>
    </row>
    <row r="391" spans="1:8" ht="16.5" customHeight="1">
      <c r="A391" s="383" t="s">
        <v>2503</v>
      </c>
      <c r="B391" s="383" t="s">
        <v>2503</v>
      </c>
      <c r="C391" s="387" t="s">
        <v>2504</v>
      </c>
      <c r="D391" s="369" t="s">
        <v>1247</v>
      </c>
      <c r="E391" s="369"/>
      <c r="F391" s="370"/>
      <c r="G391" s="368" t="s">
        <v>2505</v>
      </c>
      <c r="H391" s="366"/>
    </row>
    <row r="392" spans="1:8" ht="16.5" customHeight="1">
      <c r="A392" s="368" t="s">
        <v>2506</v>
      </c>
      <c r="B392" s="373" t="s">
        <v>2506</v>
      </c>
      <c r="C392" s="387" t="s">
        <v>2507</v>
      </c>
      <c r="D392" s="369" t="s">
        <v>1247</v>
      </c>
      <c r="E392" s="369"/>
      <c r="F392" s="370"/>
      <c r="G392" s="368" t="s">
        <v>2508</v>
      </c>
      <c r="H392" s="366"/>
    </row>
    <row r="393" spans="1:8" ht="16.5" customHeight="1">
      <c r="A393" s="368" t="s">
        <v>2509</v>
      </c>
      <c r="B393" s="373" t="s">
        <v>2509</v>
      </c>
      <c r="C393" s="387" t="s">
        <v>2510</v>
      </c>
      <c r="D393" s="369" t="s">
        <v>1247</v>
      </c>
      <c r="E393" s="369"/>
      <c r="F393" s="370"/>
      <c r="G393" s="368" t="s">
        <v>2511</v>
      </c>
      <c r="H393" s="366"/>
    </row>
    <row r="394" spans="1:8" ht="16.5" customHeight="1">
      <c r="A394" s="368" t="s">
        <v>2512</v>
      </c>
      <c r="B394" s="373" t="s">
        <v>2512</v>
      </c>
      <c r="C394" s="387" t="s">
        <v>2513</v>
      </c>
      <c r="D394" s="369" t="s">
        <v>1247</v>
      </c>
      <c r="E394" s="369"/>
      <c r="F394" s="370"/>
      <c r="G394" s="368" t="s">
        <v>2511</v>
      </c>
      <c r="H394" s="366"/>
    </row>
    <row r="395" spans="1:8" ht="16.5" customHeight="1">
      <c r="A395" s="368" t="s">
        <v>2514</v>
      </c>
      <c r="B395" s="368" t="s">
        <v>2515</v>
      </c>
      <c r="C395" s="387" t="s">
        <v>2516</v>
      </c>
      <c r="D395" s="369" t="s">
        <v>1247</v>
      </c>
      <c r="E395" s="369"/>
      <c r="F395" s="370"/>
      <c r="G395" s="368" t="s">
        <v>2511</v>
      </c>
      <c r="H395" s="366"/>
    </row>
    <row r="396" spans="1:8" ht="16.5" customHeight="1">
      <c r="A396" s="368" t="s">
        <v>2517</v>
      </c>
      <c r="B396" s="368" t="s">
        <v>2518</v>
      </c>
      <c r="C396" s="387" t="s">
        <v>2519</v>
      </c>
      <c r="D396" s="369" t="s">
        <v>1247</v>
      </c>
      <c r="E396" s="369"/>
      <c r="F396" s="370"/>
      <c r="G396" s="368" t="s">
        <v>2511</v>
      </c>
      <c r="H396" s="366"/>
    </row>
    <row r="397" spans="1:8" ht="16.5" customHeight="1">
      <c r="A397" s="368" t="s">
        <v>2520</v>
      </c>
      <c r="B397" s="368" t="s">
        <v>2521</v>
      </c>
      <c r="C397" s="387" t="s">
        <v>2522</v>
      </c>
      <c r="D397" s="369" t="s">
        <v>1247</v>
      </c>
      <c r="E397" s="369"/>
      <c r="F397" s="370"/>
      <c r="G397" s="368" t="s">
        <v>2511</v>
      </c>
      <c r="H397" s="366"/>
    </row>
    <row r="398" spans="1:8" ht="16.5" customHeight="1">
      <c r="A398" s="368" t="s">
        <v>2523</v>
      </c>
      <c r="B398" s="368" t="s">
        <v>2524</v>
      </c>
      <c r="C398" s="387" t="s">
        <v>2525</v>
      </c>
      <c r="D398" s="369" t="s">
        <v>1247</v>
      </c>
      <c r="E398" s="369"/>
      <c r="F398" s="370"/>
      <c r="G398" s="368" t="s">
        <v>2511</v>
      </c>
      <c r="H398" s="366"/>
    </row>
    <row r="399" spans="1:8" ht="16.5" customHeight="1">
      <c r="A399" s="368" t="s">
        <v>2526</v>
      </c>
      <c r="B399" s="373" t="s">
        <v>2526</v>
      </c>
      <c r="C399" s="387" t="s">
        <v>2527</v>
      </c>
      <c r="D399" s="369" t="s">
        <v>1247</v>
      </c>
      <c r="E399" s="369"/>
      <c r="F399" s="370"/>
      <c r="G399" s="368" t="s">
        <v>2528</v>
      </c>
      <c r="H399" s="366"/>
    </row>
    <row r="400" spans="1:8" ht="16.5" customHeight="1">
      <c r="A400" s="368" t="s">
        <v>2529</v>
      </c>
      <c r="B400" s="368" t="s">
        <v>2530</v>
      </c>
      <c r="C400" s="387" t="s">
        <v>2531</v>
      </c>
      <c r="D400" s="369" t="s">
        <v>1247</v>
      </c>
      <c r="E400" s="369"/>
      <c r="F400" s="370"/>
      <c r="G400" s="368" t="s">
        <v>2528</v>
      </c>
      <c r="H400" s="366"/>
    </row>
    <row r="401" spans="1:8" ht="16.5" customHeight="1">
      <c r="A401" s="368" t="s">
        <v>2532</v>
      </c>
      <c r="B401" s="373" t="s">
        <v>2532</v>
      </c>
      <c r="C401" s="387" t="s">
        <v>2533</v>
      </c>
      <c r="D401" s="369" t="s">
        <v>1247</v>
      </c>
      <c r="E401" s="369"/>
      <c r="F401" s="370"/>
      <c r="G401" s="368" t="s">
        <v>2534</v>
      </c>
      <c r="H401" s="366"/>
    </row>
    <row r="402" spans="1:8" ht="16.5" customHeight="1">
      <c r="A402" s="368" t="s">
        <v>2535</v>
      </c>
      <c r="B402" s="368" t="s">
        <v>2535</v>
      </c>
      <c r="C402" s="387" t="s">
        <v>2536</v>
      </c>
      <c r="D402" s="369" t="s">
        <v>1247</v>
      </c>
      <c r="E402" s="369"/>
      <c r="F402" s="370"/>
      <c r="G402" s="368" t="s">
        <v>2534</v>
      </c>
      <c r="H402" s="366"/>
    </row>
    <row r="403" spans="1:8" ht="16.5" customHeight="1">
      <c r="A403" s="368" t="s">
        <v>2537</v>
      </c>
      <c r="B403" s="373" t="s">
        <v>2537</v>
      </c>
      <c r="C403" s="387" t="s">
        <v>2538</v>
      </c>
      <c r="D403" s="369" t="s">
        <v>1247</v>
      </c>
      <c r="E403" s="369"/>
      <c r="F403" s="370"/>
      <c r="G403" s="368" t="s">
        <v>2539</v>
      </c>
      <c r="H403" s="366"/>
    </row>
    <row r="404" spans="1:8" ht="16.5" customHeight="1">
      <c r="A404" s="368" t="s">
        <v>2540</v>
      </c>
      <c r="B404" s="373" t="s">
        <v>2540</v>
      </c>
      <c r="C404" s="387" t="s">
        <v>2541</v>
      </c>
      <c r="D404" s="369" t="s">
        <v>1247</v>
      </c>
      <c r="E404" s="369"/>
      <c r="F404" s="370"/>
      <c r="G404" s="368" t="s">
        <v>2542</v>
      </c>
      <c r="H404" s="366"/>
    </row>
    <row r="405" spans="1:8" ht="16.5" customHeight="1">
      <c r="A405" s="368" t="s">
        <v>2543</v>
      </c>
      <c r="B405" s="368" t="s">
        <v>2544</v>
      </c>
      <c r="C405" s="387" t="s">
        <v>2545</v>
      </c>
      <c r="D405" s="369" t="s">
        <v>1247</v>
      </c>
      <c r="E405" s="369"/>
      <c r="F405" s="370"/>
      <c r="G405" s="368" t="s">
        <v>2546</v>
      </c>
      <c r="H405" s="366"/>
    </row>
    <row r="406" spans="1:8" ht="16.5" customHeight="1">
      <c r="A406" s="368" t="s">
        <v>2547</v>
      </c>
      <c r="B406" s="373" t="s">
        <v>2547</v>
      </c>
      <c r="C406" s="387" t="s">
        <v>2548</v>
      </c>
      <c r="D406" s="369" t="s">
        <v>1247</v>
      </c>
      <c r="E406" s="369"/>
      <c r="F406" s="370"/>
      <c r="G406" s="368" t="s">
        <v>2549</v>
      </c>
      <c r="H406" s="366"/>
    </row>
    <row r="407" spans="1:8" ht="16.5" customHeight="1">
      <c r="A407" s="368" t="s">
        <v>2550</v>
      </c>
      <c r="B407" s="368" t="s">
        <v>2551</v>
      </c>
      <c r="C407" s="387" t="s">
        <v>2552</v>
      </c>
      <c r="D407" s="369" t="s">
        <v>1247</v>
      </c>
      <c r="E407" s="369"/>
      <c r="F407" s="370"/>
      <c r="G407" s="368" t="s">
        <v>2553</v>
      </c>
      <c r="H407" s="366"/>
    </row>
    <row r="408" spans="1:8" ht="16.5" customHeight="1">
      <c r="A408" s="368" t="s">
        <v>2554</v>
      </c>
      <c r="B408" s="368" t="s">
        <v>2555</v>
      </c>
      <c r="C408" s="387" t="s">
        <v>2556</v>
      </c>
      <c r="D408" s="369" t="s">
        <v>1247</v>
      </c>
      <c r="E408" s="369"/>
      <c r="F408" s="370"/>
      <c r="G408" s="368" t="s">
        <v>2553</v>
      </c>
      <c r="H408" s="366"/>
    </row>
    <row r="409" spans="1:8" ht="16.5" customHeight="1">
      <c r="A409" s="368" t="s">
        <v>2557</v>
      </c>
      <c r="B409" s="368" t="s">
        <v>2558</v>
      </c>
      <c r="C409" s="387" t="s">
        <v>2559</v>
      </c>
      <c r="D409" s="369" t="s">
        <v>1247</v>
      </c>
      <c r="E409" s="369"/>
      <c r="F409" s="370"/>
      <c r="G409" s="368" t="s">
        <v>2553</v>
      </c>
      <c r="H409" s="366"/>
    </row>
    <row r="410" spans="1:8" ht="16.5" customHeight="1">
      <c r="A410" s="368" t="s">
        <v>2560</v>
      </c>
      <c r="B410" s="368" t="s">
        <v>2561</v>
      </c>
      <c r="C410" s="387" t="s">
        <v>2562</v>
      </c>
      <c r="D410" s="369" t="s">
        <v>1247</v>
      </c>
      <c r="E410" s="369"/>
      <c r="F410" s="370"/>
      <c r="G410" s="368" t="s">
        <v>2563</v>
      </c>
      <c r="H410" s="366"/>
    </row>
    <row r="411" spans="1:8" ht="16.5" customHeight="1">
      <c r="A411" s="368" t="s">
        <v>2564</v>
      </c>
      <c r="B411" s="363" t="s">
        <v>2565</v>
      </c>
      <c r="C411" s="391" t="s">
        <v>2566</v>
      </c>
      <c r="D411" s="369" t="s">
        <v>1247</v>
      </c>
      <c r="E411" s="369"/>
      <c r="F411" s="370"/>
      <c r="G411" s="368" t="s">
        <v>2567</v>
      </c>
      <c r="H411" s="366"/>
    </row>
    <row r="412" spans="1:8" ht="16.5" customHeight="1">
      <c r="A412" s="366" t="s">
        <v>2568</v>
      </c>
      <c r="B412" s="366" t="s">
        <v>2569</v>
      </c>
      <c r="C412" s="386" t="s">
        <v>2570</v>
      </c>
      <c r="D412" s="367" t="s">
        <v>1427</v>
      </c>
      <c r="E412" s="149"/>
      <c r="F412" s="139">
        <v>5</v>
      </c>
      <c r="G412" s="366" t="s">
        <v>2567</v>
      </c>
      <c r="H412" s="366"/>
    </row>
    <row r="413" spans="1:8" ht="16.5" customHeight="1">
      <c r="A413" s="368" t="s">
        <v>2571</v>
      </c>
      <c r="B413" s="373" t="s">
        <v>2571</v>
      </c>
      <c r="C413" s="387" t="s">
        <v>2572</v>
      </c>
      <c r="D413" s="369" t="s">
        <v>1247</v>
      </c>
      <c r="E413" s="369"/>
      <c r="F413" s="370"/>
      <c r="G413" s="368" t="s">
        <v>2573</v>
      </c>
      <c r="H413" s="366"/>
    </row>
    <row r="414" spans="1:8" ht="16.5" customHeight="1">
      <c r="A414" s="366" t="s">
        <v>2574</v>
      </c>
      <c r="B414" s="366" t="s">
        <v>2575</v>
      </c>
      <c r="C414" s="386" t="s">
        <v>2576</v>
      </c>
      <c r="D414" s="384" t="s">
        <v>1427</v>
      </c>
      <c r="E414" s="149"/>
      <c r="F414" s="139">
        <v>5</v>
      </c>
      <c r="G414" s="366" t="s">
        <v>2577</v>
      </c>
      <c r="H414" s="366"/>
    </row>
    <row r="415" spans="1:8" ht="16.5" customHeight="1">
      <c r="A415" s="366" t="s">
        <v>2578</v>
      </c>
      <c r="B415" s="366" t="s">
        <v>2579</v>
      </c>
      <c r="C415" s="386" t="s">
        <v>2580</v>
      </c>
      <c r="D415" s="367" t="s">
        <v>1247</v>
      </c>
      <c r="E415" s="149"/>
      <c r="F415" s="139"/>
      <c r="G415" s="366" t="s">
        <v>2577</v>
      </c>
      <c r="H415" s="366"/>
    </row>
    <row r="416" spans="1:8" ht="16.5" customHeight="1">
      <c r="A416" s="366" t="s">
        <v>2581</v>
      </c>
      <c r="B416" s="366" t="s">
        <v>2582</v>
      </c>
      <c r="C416" s="394" t="s">
        <v>2583</v>
      </c>
      <c r="D416" s="149" t="s">
        <v>1247</v>
      </c>
      <c r="E416" s="149"/>
      <c r="F416" s="139">
        <v>5</v>
      </c>
      <c r="G416" s="366" t="s">
        <v>2577</v>
      </c>
      <c r="H416" s="366"/>
    </row>
    <row r="417" spans="1:8" ht="16.5" customHeight="1">
      <c r="A417" s="366" t="s">
        <v>2584</v>
      </c>
      <c r="B417" s="366" t="s">
        <v>2585</v>
      </c>
      <c r="C417" s="386" t="s">
        <v>2586</v>
      </c>
      <c r="D417" s="149" t="s">
        <v>1247</v>
      </c>
      <c r="E417" s="149"/>
      <c r="F417" s="139">
        <v>5</v>
      </c>
      <c r="G417" s="366" t="s">
        <v>2577</v>
      </c>
      <c r="H417" s="366"/>
    </row>
    <row r="418" spans="1:8" ht="16.5" customHeight="1">
      <c r="A418" s="368" t="s">
        <v>2587</v>
      </c>
      <c r="B418" s="363" t="s">
        <v>2588</v>
      </c>
      <c r="C418" s="390" t="s">
        <v>2589</v>
      </c>
      <c r="D418" s="369" t="s">
        <v>1247</v>
      </c>
      <c r="E418" s="369"/>
      <c r="F418" s="370"/>
      <c r="G418" s="368" t="s">
        <v>2590</v>
      </c>
      <c r="H418" s="366"/>
    </row>
    <row r="419" spans="1:8" ht="16.5" customHeight="1">
      <c r="A419" s="368" t="s">
        <v>2591</v>
      </c>
      <c r="B419" s="368" t="s">
        <v>2592</v>
      </c>
      <c r="C419" s="387" t="s">
        <v>2593</v>
      </c>
      <c r="D419" s="369" t="s">
        <v>1247</v>
      </c>
      <c r="E419" s="369"/>
      <c r="F419" s="370"/>
      <c r="G419" s="368" t="s">
        <v>2590</v>
      </c>
      <c r="H419" s="366"/>
    </row>
    <row r="420" spans="1:8" ht="16.5" customHeight="1">
      <c r="A420" s="368" t="s">
        <v>2594</v>
      </c>
      <c r="B420" s="368" t="s">
        <v>2595</v>
      </c>
      <c r="C420" s="387" t="s">
        <v>2596</v>
      </c>
      <c r="D420" s="369" t="s">
        <v>1247</v>
      </c>
      <c r="E420" s="369"/>
      <c r="F420" s="370"/>
      <c r="G420" s="368" t="s">
        <v>2597</v>
      </c>
      <c r="H420" s="366"/>
    </row>
    <row r="421" spans="1:8" ht="16.5" customHeight="1">
      <c r="A421" s="368" t="s">
        <v>2598</v>
      </c>
      <c r="B421" s="373" t="s">
        <v>2598</v>
      </c>
      <c r="C421" s="387" t="s">
        <v>2599</v>
      </c>
      <c r="D421" s="369" t="s">
        <v>1247</v>
      </c>
      <c r="E421" s="369"/>
      <c r="F421" s="370"/>
      <c r="G421" s="368" t="s">
        <v>2600</v>
      </c>
      <c r="H421" s="366"/>
    </row>
    <row r="422" spans="1:8" ht="16.5" customHeight="1">
      <c r="A422" s="368" t="s">
        <v>2601</v>
      </c>
      <c r="B422" s="382" t="s">
        <v>2601</v>
      </c>
      <c r="C422" s="387" t="s">
        <v>2602</v>
      </c>
      <c r="D422" s="369" t="s">
        <v>1247</v>
      </c>
      <c r="E422" s="369"/>
      <c r="F422" s="370"/>
      <c r="G422" s="368" t="s">
        <v>2603</v>
      </c>
      <c r="H422" s="366"/>
    </row>
    <row r="423" spans="1:8" ht="16.5" customHeight="1">
      <c r="A423" s="368" t="s">
        <v>2604</v>
      </c>
      <c r="B423" s="373" t="s">
        <v>2604</v>
      </c>
      <c r="C423" s="387" t="s">
        <v>2605</v>
      </c>
      <c r="D423" s="369" t="s">
        <v>1247</v>
      </c>
      <c r="E423" s="369"/>
      <c r="F423" s="370"/>
      <c r="G423" s="368" t="s">
        <v>2600</v>
      </c>
      <c r="H423" s="366"/>
    </row>
    <row r="424" spans="1:8" ht="16.5" customHeight="1">
      <c r="A424" s="368" t="s">
        <v>2606</v>
      </c>
      <c r="B424" s="373" t="s">
        <v>2606</v>
      </c>
      <c r="C424" s="387" t="s">
        <v>2607</v>
      </c>
      <c r="D424" s="369" t="s">
        <v>1247</v>
      </c>
      <c r="E424" s="369"/>
      <c r="F424" s="370"/>
      <c r="G424" s="368" t="s">
        <v>2600</v>
      </c>
      <c r="H424" s="366"/>
    </row>
    <row r="425" spans="1:8" ht="16.5" customHeight="1">
      <c r="A425" s="368" t="s">
        <v>2608</v>
      </c>
      <c r="B425" s="371" t="s">
        <v>2609</v>
      </c>
      <c r="C425" s="387" t="s">
        <v>2610</v>
      </c>
      <c r="D425" s="369" t="s">
        <v>1307</v>
      </c>
      <c r="E425" s="369"/>
      <c r="F425" s="370">
        <v>5</v>
      </c>
      <c r="G425" s="368" t="s">
        <v>2611</v>
      </c>
      <c r="H425" s="366"/>
    </row>
    <row r="426" spans="1:8" ht="16.5" customHeight="1">
      <c r="A426" s="368" t="s">
        <v>2612</v>
      </c>
      <c r="B426" s="372" t="s">
        <v>2613</v>
      </c>
      <c r="C426" s="387" t="s">
        <v>2614</v>
      </c>
      <c r="D426" s="369" t="s">
        <v>1247</v>
      </c>
      <c r="E426" s="369"/>
      <c r="F426" s="370"/>
      <c r="G426" s="368" t="s">
        <v>2611</v>
      </c>
      <c r="H426" s="366"/>
    </row>
    <row r="427" spans="1:8" ht="16.5" customHeight="1">
      <c r="A427" s="366" t="s">
        <v>2615</v>
      </c>
      <c r="B427" s="243" t="s">
        <v>2616</v>
      </c>
      <c r="C427" s="386" t="s">
        <v>2617</v>
      </c>
      <c r="D427" s="367" t="s">
        <v>1247</v>
      </c>
      <c r="E427" s="149"/>
      <c r="F427" s="139"/>
      <c r="G427" s="366" t="s">
        <v>2611</v>
      </c>
      <c r="H427" s="366"/>
    </row>
    <row r="428" spans="1:8" ht="16.5" customHeight="1">
      <c r="A428" s="366" t="s">
        <v>2618</v>
      </c>
      <c r="B428" s="243" t="s">
        <v>2619</v>
      </c>
      <c r="C428" s="386" t="s">
        <v>2620</v>
      </c>
      <c r="D428" s="367" t="s">
        <v>1247</v>
      </c>
      <c r="E428" s="149"/>
      <c r="F428" s="139"/>
      <c r="G428" s="366" t="s">
        <v>2611</v>
      </c>
      <c r="H428" s="366"/>
    </row>
    <row r="429" spans="1:8" ht="16.5" customHeight="1">
      <c r="A429" s="366" t="s">
        <v>2621</v>
      </c>
      <c r="B429" s="243" t="s">
        <v>2622</v>
      </c>
      <c r="C429" s="386" t="s">
        <v>2623</v>
      </c>
      <c r="D429" s="367" t="s">
        <v>1427</v>
      </c>
      <c r="E429" s="149"/>
      <c r="F429" s="139">
        <v>5</v>
      </c>
      <c r="G429" s="366" t="s">
        <v>2611</v>
      </c>
      <c r="H429" s="366"/>
    </row>
    <row r="430" spans="1:8" ht="16.5" customHeight="1">
      <c r="A430" s="366" t="s">
        <v>2624</v>
      </c>
      <c r="B430" s="366" t="s">
        <v>2625</v>
      </c>
      <c r="C430" s="386" t="s">
        <v>2626</v>
      </c>
      <c r="D430" s="367" t="s">
        <v>1427</v>
      </c>
      <c r="E430" s="149"/>
      <c r="F430" s="139">
        <v>5</v>
      </c>
      <c r="G430" s="366" t="s">
        <v>2611</v>
      </c>
      <c r="H430" s="366"/>
    </row>
    <row r="431" spans="1:8" ht="16.5" customHeight="1">
      <c r="A431" s="366" t="s">
        <v>2627</v>
      </c>
      <c r="B431" s="366" t="s">
        <v>2628</v>
      </c>
      <c r="C431" s="386" t="s">
        <v>2629</v>
      </c>
      <c r="D431" s="367" t="s">
        <v>1247</v>
      </c>
      <c r="E431" s="149"/>
      <c r="F431" s="139"/>
      <c r="G431" s="366" t="s">
        <v>2611</v>
      </c>
      <c r="H431" s="366"/>
    </row>
    <row r="432" spans="1:8" ht="16.5" customHeight="1">
      <c r="A432" s="366" t="s">
        <v>2630</v>
      </c>
      <c r="B432" s="366" t="s">
        <v>2631</v>
      </c>
      <c r="C432" s="386" t="s">
        <v>2632</v>
      </c>
      <c r="D432" s="367" t="s">
        <v>1427</v>
      </c>
      <c r="E432" s="149"/>
      <c r="F432" s="139">
        <v>5</v>
      </c>
      <c r="G432" s="366" t="s">
        <v>2633</v>
      </c>
      <c r="H432" s="366"/>
    </row>
    <row r="433" spans="1:8" ht="16.5" customHeight="1">
      <c r="A433" s="368" t="s">
        <v>2634</v>
      </c>
      <c r="B433" s="368" t="s">
        <v>2635</v>
      </c>
      <c r="C433" s="387" t="s">
        <v>2636</v>
      </c>
      <c r="D433" s="369" t="s">
        <v>1247</v>
      </c>
      <c r="E433" s="369"/>
      <c r="F433" s="370"/>
      <c r="G433" s="368" t="s">
        <v>2637</v>
      </c>
      <c r="H433" s="366"/>
    </row>
    <row r="434" spans="1:8" ht="16.5" customHeight="1">
      <c r="A434" s="368" t="s">
        <v>2638</v>
      </c>
      <c r="B434" s="372" t="s">
        <v>2639</v>
      </c>
      <c r="C434" s="387" t="s">
        <v>2640</v>
      </c>
      <c r="D434" s="369" t="s">
        <v>1247</v>
      </c>
      <c r="E434" s="369"/>
      <c r="F434" s="370"/>
      <c r="G434" s="368" t="s">
        <v>2641</v>
      </c>
      <c r="H434" s="366"/>
    </row>
    <row r="435" spans="1:8" ht="16.5" customHeight="1">
      <c r="A435" s="368" t="s">
        <v>2642</v>
      </c>
      <c r="B435" s="373" t="s">
        <v>2642</v>
      </c>
      <c r="C435" s="387" t="s">
        <v>2643</v>
      </c>
      <c r="D435" s="369" t="s">
        <v>1247</v>
      </c>
      <c r="E435" s="369"/>
      <c r="F435" s="370"/>
      <c r="G435" s="368" t="s">
        <v>2644</v>
      </c>
      <c r="H435" s="366"/>
    </row>
    <row r="436" spans="1:8" ht="16.5" customHeight="1">
      <c r="A436" s="368" t="s">
        <v>2645</v>
      </c>
      <c r="B436" s="368" t="s">
        <v>2646</v>
      </c>
      <c r="C436" s="387" t="s">
        <v>2647</v>
      </c>
      <c r="D436" s="369" t="s">
        <v>1247</v>
      </c>
      <c r="E436" s="369"/>
      <c r="F436" s="370"/>
      <c r="G436" s="368" t="s">
        <v>2648</v>
      </c>
      <c r="H436" s="366"/>
    </row>
    <row r="437" spans="1:8" ht="16.5" customHeight="1">
      <c r="A437" s="368" t="s">
        <v>2649</v>
      </c>
      <c r="B437" s="373" t="s">
        <v>2649</v>
      </c>
      <c r="C437" s="387" t="s">
        <v>2650</v>
      </c>
      <c r="D437" s="369" t="s">
        <v>1247</v>
      </c>
      <c r="E437" s="369"/>
      <c r="F437" s="370"/>
      <c r="G437" s="368" t="s">
        <v>2648</v>
      </c>
      <c r="H437" s="366"/>
    </row>
    <row r="438" spans="1:8" ht="16.5" customHeight="1">
      <c r="A438" s="368" t="s">
        <v>2651</v>
      </c>
      <c r="B438" s="373" t="s">
        <v>2651</v>
      </c>
      <c r="C438" s="387" t="s">
        <v>2652</v>
      </c>
      <c r="D438" s="369" t="s">
        <v>1247</v>
      </c>
      <c r="E438" s="369"/>
      <c r="F438" s="370"/>
      <c r="G438" s="368" t="s">
        <v>2648</v>
      </c>
      <c r="H438" s="366"/>
    </row>
    <row r="439" spans="1:8" ht="16.5" customHeight="1">
      <c r="A439" s="368" t="s">
        <v>2653</v>
      </c>
      <c r="B439" s="368" t="s">
        <v>2654</v>
      </c>
      <c r="C439" s="387" t="s">
        <v>2655</v>
      </c>
      <c r="D439" s="369" t="s">
        <v>1247</v>
      </c>
      <c r="E439" s="369"/>
      <c r="F439" s="370"/>
      <c r="G439" s="368" t="s">
        <v>2656</v>
      </c>
      <c r="H439" s="366"/>
    </row>
    <row r="440" spans="1:8" ht="16.5" customHeight="1">
      <c r="A440" s="368" t="s">
        <v>2657</v>
      </c>
      <c r="B440" s="373" t="s">
        <v>2657</v>
      </c>
      <c r="C440" s="387" t="s">
        <v>2658</v>
      </c>
      <c r="D440" s="369" t="s">
        <v>1247</v>
      </c>
      <c r="E440" s="369"/>
      <c r="F440" s="370"/>
      <c r="G440" s="368" t="s">
        <v>2656</v>
      </c>
      <c r="H440" s="366"/>
    </row>
    <row r="441" spans="1:8" ht="16.5" customHeight="1">
      <c r="A441" s="368" t="s">
        <v>2659</v>
      </c>
      <c r="B441" s="373" t="s">
        <v>2659</v>
      </c>
      <c r="C441" s="387" t="s">
        <v>2660</v>
      </c>
      <c r="D441" s="369" t="s">
        <v>1247</v>
      </c>
      <c r="E441" s="369"/>
      <c r="F441" s="370"/>
      <c r="G441" s="368" t="s">
        <v>2656</v>
      </c>
      <c r="H441" s="366"/>
    </row>
    <row r="442" spans="1:8" ht="16.5" customHeight="1">
      <c r="A442" s="368" t="s">
        <v>2661</v>
      </c>
      <c r="B442" s="373" t="s">
        <v>2661</v>
      </c>
      <c r="C442" s="387" t="s">
        <v>2662</v>
      </c>
      <c r="D442" s="369" t="s">
        <v>1247</v>
      </c>
      <c r="E442" s="369"/>
      <c r="F442" s="370"/>
      <c r="G442" s="368" t="s">
        <v>2663</v>
      </c>
      <c r="H442" s="366"/>
    </row>
    <row r="443" spans="1:8" ht="16.5" customHeight="1">
      <c r="A443" s="368" t="s">
        <v>2664</v>
      </c>
      <c r="B443" s="368" t="s">
        <v>2665</v>
      </c>
      <c r="C443" s="387" t="s">
        <v>2666</v>
      </c>
      <c r="D443" s="369" t="s">
        <v>1247</v>
      </c>
      <c r="E443" s="369"/>
      <c r="F443" s="370"/>
      <c r="G443" s="368" t="s">
        <v>2667</v>
      </c>
      <c r="H443" s="366"/>
    </row>
    <row r="444" spans="1:8" ht="16.5" customHeight="1">
      <c r="A444" s="368" t="s">
        <v>2668</v>
      </c>
      <c r="B444" s="363" t="s">
        <v>2669</v>
      </c>
      <c r="C444" s="387" t="s">
        <v>2670</v>
      </c>
      <c r="D444" s="369" t="s">
        <v>1247</v>
      </c>
      <c r="E444" s="369"/>
      <c r="F444" s="370"/>
      <c r="G444" s="368" t="s">
        <v>2667</v>
      </c>
      <c r="H444" s="366"/>
    </row>
    <row r="445" spans="1:8" ht="16.5" customHeight="1">
      <c r="A445" s="368" t="s">
        <v>2671</v>
      </c>
      <c r="B445" s="368" t="s">
        <v>2672</v>
      </c>
      <c r="C445" s="387" t="s">
        <v>2673</v>
      </c>
      <c r="D445" s="369" t="s">
        <v>1247</v>
      </c>
      <c r="E445" s="369"/>
      <c r="F445" s="370"/>
      <c r="G445" s="368" t="s">
        <v>2674</v>
      </c>
      <c r="H445" s="366"/>
    </row>
    <row r="446" spans="1:8" ht="16.5" customHeight="1">
      <c r="A446" s="366" t="s">
        <v>2675</v>
      </c>
      <c r="B446" s="366" t="s">
        <v>2676</v>
      </c>
      <c r="C446" s="386" t="s">
        <v>2677</v>
      </c>
      <c r="D446" s="367" t="s">
        <v>1247</v>
      </c>
      <c r="E446" s="378" t="s">
        <v>1860</v>
      </c>
      <c r="F446" s="139"/>
      <c r="G446" s="366" t="s">
        <v>2678</v>
      </c>
      <c r="H446" s="366"/>
    </row>
    <row r="447" spans="1:8" ht="16.5" customHeight="1">
      <c r="A447" s="368" t="s">
        <v>2679</v>
      </c>
      <c r="B447" s="371" t="s">
        <v>2680</v>
      </c>
      <c r="C447" s="387" t="s">
        <v>2681</v>
      </c>
      <c r="D447" s="369" t="s">
        <v>1247</v>
      </c>
      <c r="E447" s="369"/>
      <c r="F447" s="370"/>
      <c r="G447" s="368" t="s">
        <v>2682</v>
      </c>
      <c r="H447" s="366"/>
    </row>
    <row r="448" spans="1:8" ht="16.5" customHeight="1">
      <c r="A448" s="366" t="s">
        <v>2683</v>
      </c>
      <c r="B448" s="363" t="s">
        <v>2684</v>
      </c>
      <c r="C448" s="386" t="s">
        <v>2685</v>
      </c>
      <c r="D448" s="367" t="s">
        <v>2686</v>
      </c>
      <c r="E448" s="149"/>
      <c r="F448" s="139"/>
      <c r="G448" s="366" t="s">
        <v>2687</v>
      </c>
      <c r="H448" s="366"/>
    </row>
    <row r="449" spans="1:8" ht="16.5" customHeight="1">
      <c r="A449" s="368" t="s">
        <v>2688</v>
      </c>
      <c r="B449" s="368" t="s">
        <v>2689</v>
      </c>
      <c r="C449" s="387" t="s">
        <v>2690</v>
      </c>
      <c r="D449" s="369" t="s">
        <v>1247</v>
      </c>
      <c r="E449" s="369"/>
      <c r="F449" s="370"/>
      <c r="G449" s="368" t="s">
        <v>2691</v>
      </c>
      <c r="H449" s="366"/>
    </row>
    <row r="450" spans="1:8" ht="16.5" customHeight="1">
      <c r="A450" s="368" t="s">
        <v>2692</v>
      </c>
      <c r="B450" s="363" t="s">
        <v>2693</v>
      </c>
      <c r="C450" s="390" t="s">
        <v>2694</v>
      </c>
      <c r="D450" s="369" t="s">
        <v>1247</v>
      </c>
      <c r="E450" s="369"/>
      <c r="F450" s="376">
        <v>3</v>
      </c>
      <c r="G450" s="368" t="s">
        <v>2691</v>
      </c>
      <c r="H450" s="366"/>
    </row>
    <row r="451" spans="1:8" ht="16.5" customHeight="1">
      <c r="A451" s="368" t="s">
        <v>2695</v>
      </c>
      <c r="B451" s="368" t="s">
        <v>2696</v>
      </c>
      <c r="C451" s="387" t="s">
        <v>2697</v>
      </c>
      <c r="D451" s="369" t="s">
        <v>1247</v>
      </c>
      <c r="E451" s="369"/>
      <c r="F451" s="370">
        <v>2</v>
      </c>
      <c r="G451" s="368" t="s">
        <v>2691</v>
      </c>
      <c r="H451" s="366"/>
    </row>
    <row r="452" spans="1:8" ht="16.5" customHeight="1">
      <c r="A452" s="368" t="s">
        <v>2698</v>
      </c>
      <c r="B452" s="379" t="s">
        <v>2699</v>
      </c>
      <c r="C452" s="387" t="s">
        <v>2700</v>
      </c>
      <c r="D452" s="369" t="s">
        <v>1247</v>
      </c>
      <c r="E452" s="369"/>
      <c r="F452" s="370"/>
      <c r="G452" s="368" t="s">
        <v>2701</v>
      </c>
      <c r="H452" s="366"/>
    </row>
    <row r="453" spans="1:8" ht="16.5" customHeight="1">
      <c r="A453" s="368" t="s">
        <v>2702</v>
      </c>
      <c r="B453" s="368" t="s">
        <v>2703</v>
      </c>
      <c r="C453" s="387" t="s">
        <v>2704</v>
      </c>
      <c r="D453" s="369" t="s">
        <v>1247</v>
      </c>
      <c r="E453" s="369"/>
      <c r="F453" s="370"/>
      <c r="G453" s="368" t="s">
        <v>2705</v>
      </c>
      <c r="H453" s="366"/>
    </row>
    <row r="454" spans="1:8" ht="16.5" customHeight="1">
      <c r="A454" s="368" t="s">
        <v>2706</v>
      </c>
      <c r="B454" s="368" t="s">
        <v>2707</v>
      </c>
      <c r="C454" s="387" t="s">
        <v>2708</v>
      </c>
      <c r="D454" s="369" t="s">
        <v>1247</v>
      </c>
      <c r="E454" s="369"/>
      <c r="F454" s="370">
        <v>3</v>
      </c>
      <c r="G454" s="368" t="s">
        <v>2709</v>
      </c>
      <c r="H454" s="366"/>
    </row>
    <row r="455" spans="1:8" ht="16.5" customHeight="1">
      <c r="A455" s="368" t="s">
        <v>2710</v>
      </c>
      <c r="B455" s="373" t="s">
        <v>2710</v>
      </c>
      <c r="C455" s="387" t="s">
        <v>2711</v>
      </c>
      <c r="D455" s="369" t="s">
        <v>1247</v>
      </c>
      <c r="E455" s="369"/>
      <c r="F455" s="370"/>
      <c r="G455" s="368" t="s">
        <v>2709</v>
      </c>
      <c r="H455" s="366"/>
    </row>
    <row r="456" spans="1:8" ht="16.5" customHeight="1">
      <c r="A456" s="368" t="s">
        <v>2712</v>
      </c>
      <c r="B456" s="373" t="s">
        <v>2712</v>
      </c>
      <c r="C456" s="387" t="s">
        <v>2713</v>
      </c>
      <c r="D456" s="369" t="s">
        <v>1247</v>
      </c>
      <c r="E456" s="369"/>
      <c r="F456" s="370"/>
      <c r="G456" s="368" t="s">
        <v>2709</v>
      </c>
      <c r="H456" s="366"/>
    </row>
    <row r="457" spans="1:8" ht="16.5" customHeight="1">
      <c r="A457" s="368" t="s">
        <v>2714</v>
      </c>
      <c r="B457" s="368" t="s">
        <v>2715</v>
      </c>
      <c r="C457" s="387" t="s">
        <v>2716</v>
      </c>
      <c r="D457" s="369" t="s">
        <v>1247</v>
      </c>
      <c r="E457" s="369"/>
      <c r="F457" s="370"/>
      <c r="G457" s="368" t="s">
        <v>2717</v>
      </c>
      <c r="H457" s="366"/>
    </row>
    <row r="458" spans="1:8" ht="16.5" customHeight="1">
      <c r="A458" s="366" t="s">
        <v>2718</v>
      </c>
      <c r="B458" s="366" t="s">
        <v>2719</v>
      </c>
      <c r="C458" s="387" t="s">
        <v>2720</v>
      </c>
      <c r="D458" s="367" t="s">
        <v>1247</v>
      </c>
      <c r="E458" s="149"/>
      <c r="F458" s="139"/>
      <c r="G458" s="366" t="s">
        <v>2717</v>
      </c>
      <c r="H458" s="366"/>
    </row>
    <row r="459" spans="1:8" ht="16.5" customHeight="1">
      <c r="A459" s="368" t="s">
        <v>2721</v>
      </c>
      <c r="B459" s="368" t="s">
        <v>2722</v>
      </c>
      <c r="C459" s="387" t="s">
        <v>2723</v>
      </c>
      <c r="D459" s="369" t="s">
        <v>1247</v>
      </c>
      <c r="E459" s="369"/>
      <c r="F459" s="370"/>
      <c r="G459" s="368" t="s">
        <v>2724</v>
      </c>
      <c r="H459" s="366"/>
    </row>
    <row r="460" spans="1:8" ht="16.5" customHeight="1">
      <c r="A460" s="366" t="s">
        <v>2725</v>
      </c>
      <c r="B460" s="366" t="s">
        <v>2726</v>
      </c>
      <c r="C460" s="386" t="s">
        <v>2727</v>
      </c>
      <c r="D460" s="367" t="s">
        <v>1247</v>
      </c>
      <c r="E460" s="149"/>
      <c r="F460" s="139"/>
      <c r="G460" s="366" t="s">
        <v>2717</v>
      </c>
      <c r="H460" s="366"/>
    </row>
    <row r="461" spans="1:8" ht="16.5" customHeight="1">
      <c r="A461" s="366" t="s">
        <v>2728</v>
      </c>
      <c r="B461" s="243" t="s">
        <v>2729</v>
      </c>
      <c r="C461" s="386" t="s">
        <v>2730</v>
      </c>
      <c r="D461" s="367" t="s">
        <v>1247</v>
      </c>
      <c r="E461" s="149"/>
      <c r="F461" s="139">
        <v>5</v>
      </c>
      <c r="G461" s="366" t="s">
        <v>2731</v>
      </c>
      <c r="H461" s="366"/>
    </row>
    <row r="462" spans="1:8" ht="16.5" customHeight="1">
      <c r="A462" s="366" t="s">
        <v>2732</v>
      </c>
      <c r="B462" s="366" t="s">
        <v>2733</v>
      </c>
      <c r="C462" s="386" t="s">
        <v>2734</v>
      </c>
      <c r="D462" s="367" t="s">
        <v>1247</v>
      </c>
      <c r="E462" s="149"/>
      <c r="F462" s="139">
        <v>5</v>
      </c>
      <c r="G462" s="366" t="s">
        <v>2731</v>
      </c>
      <c r="H462" s="366"/>
    </row>
    <row r="463" spans="1:8" ht="16.5" customHeight="1">
      <c r="A463" s="366" t="s">
        <v>1114</v>
      </c>
      <c r="B463" s="366" t="s">
        <v>2735</v>
      </c>
      <c r="C463" s="386" t="s">
        <v>2736</v>
      </c>
      <c r="D463" s="367" t="s">
        <v>1247</v>
      </c>
      <c r="E463" s="149"/>
      <c r="F463" s="139">
        <v>5</v>
      </c>
      <c r="G463" s="366" t="s">
        <v>2731</v>
      </c>
      <c r="H463" s="366"/>
    </row>
    <row r="464" spans="1:8" ht="16.5" customHeight="1">
      <c r="A464" s="368" t="s">
        <v>2737</v>
      </c>
      <c r="B464" s="372" t="s">
        <v>2738</v>
      </c>
      <c r="C464" s="387" t="s">
        <v>2739</v>
      </c>
      <c r="D464" s="369" t="s">
        <v>1247</v>
      </c>
      <c r="E464" s="369"/>
      <c r="F464" s="370"/>
      <c r="G464" s="366" t="s">
        <v>2731</v>
      </c>
      <c r="H464" s="366"/>
    </row>
    <row r="465" spans="1:8" ht="16.5" customHeight="1">
      <c r="A465" s="366" t="s">
        <v>2740</v>
      </c>
      <c r="B465" s="363" t="s">
        <v>2741</v>
      </c>
      <c r="C465" s="386" t="s">
        <v>2742</v>
      </c>
      <c r="D465" s="149" t="s">
        <v>1247</v>
      </c>
      <c r="E465" s="149"/>
      <c r="F465" s="139"/>
      <c r="G465" s="366" t="s">
        <v>2743</v>
      </c>
      <c r="H465" s="366"/>
    </row>
    <row r="466" spans="1:8" ht="16.5" customHeight="1">
      <c r="A466" t="s">
        <v>2440</v>
      </c>
      <c r="B466" s="363" t="s">
        <v>2441</v>
      </c>
      <c r="C466" s="386" t="s">
        <v>2744</v>
      </c>
      <c r="D466" s="149" t="s">
        <v>1247</v>
      </c>
      <c r="G466" s="368" t="s">
        <v>2656</v>
      </c>
    </row>
    <row r="467" spans="1:8" ht="16.5" customHeight="1">
      <c r="A467" t="s">
        <v>2745</v>
      </c>
      <c r="B467" s="363" t="s">
        <v>2746</v>
      </c>
      <c r="C467" s="386" t="s">
        <v>2747</v>
      </c>
      <c r="D467" s="149" t="s">
        <v>1247</v>
      </c>
      <c r="E467" t="s">
        <v>2748</v>
      </c>
      <c r="G467" s="366" t="s">
        <v>1563</v>
      </c>
    </row>
    <row r="468" spans="1:8" ht="16.5" customHeight="1">
      <c r="A468" t="s">
        <v>2749</v>
      </c>
      <c r="B468" s="363" t="s">
        <v>1527</v>
      </c>
      <c r="C468" s="386" t="s">
        <v>2750</v>
      </c>
      <c r="D468" s="149" t="s">
        <v>1247</v>
      </c>
      <c r="G468" s="366" t="s">
        <v>1563</v>
      </c>
    </row>
    <row r="469" spans="1:8" ht="16.5" customHeight="1">
      <c r="A469" t="s">
        <v>2751</v>
      </c>
      <c r="B469" s="363" t="s">
        <v>2752</v>
      </c>
      <c r="C469" s="386" t="s">
        <v>2753</v>
      </c>
      <c r="D469" s="149" t="s">
        <v>1247</v>
      </c>
      <c r="E469" t="s">
        <v>2748</v>
      </c>
      <c r="G469" s="366" t="s">
        <v>2687</v>
      </c>
    </row>
    <row r="470" spans="1:8" ht="16.5" customHeight="1">
      <c r="A470" t="s">
        <v>2754</v>
      </c>
      <c r="B470" s="363" t="s">
        <v>2755</v>
      </c>
      <c r="C470" s="386" t="s">
        <v>2756</v>
      </c>
      <c r="D470" s="149" t="s">
        <v>1247</v>
      </c>
      <c r="G470" s="366" t="s">
        <v>2611</v>
      </c>
    </row>
    <row r="471" spans="1:8" ht="16.5" customHeight="1">
      <c r="A471" t="s">
        <v>2757</v>
      </c>
      <c r="B471" s="363" t="s">
        <v>2758</v>
      </c>
      <c r="C471" s="386" t="s">
        <v>2759</v>
      </c>
      <c r="D471" s="149" t="s">
        <v>1247</v>
      </c>
      <c r="G471" s="366" t="s">
        <v>1563</v>
      </c>
    </row>
    <row r="472" spans="1:8" ht="16.5" customHeight="1">
      <c r="A472" t="s">
        <v>2760</v>
      </c>
      <c r="B472" s="363" t="s">
        <v>2761</v>
      </c>
      <c r="C472" s="386" t="s">
        <v>2762</v>
      </c>
      <c r="D472" s="149" t="s">
        <v>1247</v>
      </c>
      <c r="G472" s="366" t="s">
        <v>2763</v>
      </c>
    </row>
    <row r="473" spans="1:8" ht="16.5" customHeight="1">
      <c r="C473" s="386"/>
      <c r="D473" s="149"/>
      <c r="G473" s="366"/>
    </row>
    <row r="474" spans="1:8" ht="16.5" customHeight="1">
      <c r="C474" s="386"/>
      <c r="G474" s="366"/>
    </row>
    <row r="475" spans="1:8" ht="16.5" customHeight="1">
      <c r="C475" s="386"/>
      <c r="G475" s="366"/>
    </row>
    <row r="476" spans="1:8" ht="16.5" customHeight="1">
      <c r="C476" s="386"/>
      <c r="G476" s="366"/>
    </row>
    <row r="477" spans="1:8" ht="16.5" customHeight="1">
      <c r="G477" s="366"/>
    </row>
    <row r="478" spans="1:8" ht="16.5" customHeight="1">
      <c r="G478" s="366"/>
    </row>
    <row r="479" spans="1:8" ht="16.5" customHeight="1">
      <c r="G479" s="366"/>
    </row>
  </sheetData>
  <autoFilter ref="A1:G472" xr:uid="{266B5DB1-8C93-49D4-9BF0-AC01B929DF93}"/>
  <conditionalFormatting sqref="A178:A186 A189:A287">
    <cfRule type="duplicateValues" dxfId="55" priority="6"/>
  </conditionalFormatting>
  <conditionalFormatting sqref="A398:A409 A411:A465 A1:A186 A189:A396">
    <cfRule type="duplicateValues" dxfId="54" priority="2"/>
  </conditionalFormatting>
  <conditionalFormatting sqref="B237:B287">
    <cfRule type="duplicateValues" dxfId="53" priority="4"/>
  </conditionalFormatting>
  <conditionalFormatting sqref="B289:B374">
    <cfRule type="duplicateValues" dxfId="52" priority="5"/>
  </conditionalFormatting>
  <conditionalFormatting sqref="B406:B465 B377 B375 B379:B391 B393:B404 B189:B236 B1:B50 B52:B186">
    <cfRule type="duplicateValues" dxfId="51" priority="1"/>
  </conditionalFormatting>
  <conditionalFormatting sqref="C1:G1">
    <cfRule type="duplicateValues" dxfId="50" priority="3"/>
  </conditionalFormatting>
  <hyperlinks>
    <hyperlink ref="B48" r:id="rId1" xr:uid="{49E2A192-F6EA-42C6-9C26-1FE2B6BA9901}"/>
    <hyperlink ref="B291" r:id="rId2" xr:uid="{678069E2-50F6-4AAC-BE20-C04A61022343}"/>
    <hyperlink ref="B228" r:id="rId3" xr:uid="{468BC8CE-1616-4E40-95B2-30CCFCC98D99}"/>
    <hyperlink ref="B50" r:id="rId4" xr:uid="{685C729C-C8B3-4896-A6CB-3CA01B8BBD24}"/>
    <hyperlink ref="B239" r:id="rId5" xr:uid="{02805D5B-8639-4E89-BD19-6BBF655D1DF1}"/>
    <hyperlink ref="B214" r:id="rId6" display="https://link.mail.beehiiv.com/ss/c/u001.QR8PDET7GVRZS9oWC_jpgFob91XGn4pGqvcczB0hOCEMcQLs74CdyZMz9OkxMhGr5wMO7slBnctIHBdmj3yPBpsz22Tw8NcbPahnEBZSQDpewULOl9tI67HHgHMRtONEHBjr1JfBwJ0rnMQcZApGkbxEAK2754j1_L1ruaGnCnhMjFGauoDZqld3n_yM62SBb8W4L-QVHtKdeuWpshvZlU-LhegwPL-KDCv_8UunY-w/4gg/HgeCLxoFSoi-I1dK5yQQLA/h32/h001.8O1h93jZPc2lppElh0NjLIN7xrrGYKasBa62uAaLauw" xr:uid="{5D149C8F-25A6-40DD-B83A-DE046930C7A5}"/>
    <hyperlink ref="B262" r:id="rId7" xr:uid="{7256AE80-426F-417C-A7B9-86DA68362A6B}"/>
    <hyperlink ref="B261" r:id="rId8" xr:uid="{BC740EDB-2500-42A3-8EE6-0E5062496BE5}"/>
    <hyperlink ref="B7" r:id="rId9" display="https://link.mail.beehiiv.com/ss/c/u001.QR8PDET7GVRZS9oWC_jpgAQzYdW7YqGlLeGbGKjyFbBCJn9zofiFltaSoxSfLbMxjPXXYquPo4xGly8qBzufQCQHDnkc7MM_5ypicIGHSS9czrGvW53FmkrsvTKjVSE17UpABsTASEPMFpTqZNOUiMVmUKpN4fCsdbWR1pM0d-cQQXB952HrrtH70E-VvPHAPgQQXL759KwwMg9n-tcD-CB6wkDXjrQS7AKBe93YaBk/4al/g7zsjTnRSyu0lDfog4_2Ow/h18/h001.68rs5Lln9z1cUeNLBK7qbGRtkxRRyxuTc5VyxVfP-rI" xr:uid="{F760FA17-8378-4118-8F39-2E2A593AC6CC}"/>
    <hyperlink ref="B207" r:id="rId10" display="https://na01.safelinks.protection.outlook.com/?url=https%3A%2F%2Flink.mail.beehiiv.com%2Fss%2Fc%2Fu001.QR8PDET7GVRZS9oWC_jpgEt6UasValh_lKU5tDjYacivFq3LEW6deh2nm_jnnZD-8-ss9MoOVskp1FCAmnat_QSWoVRxWiLvhxupUfyx4XsgWFCsSNYOxQ_CLhr6DPMcVFg9Sy295NfRlNmwWAeWdS7wKh18dtXx1yON0lenfAc%2F464%2F8aybwsSUQzaKBqm4ZDYepg%2Fh10%2Fh001.YV9M27cGOUhGBTupTiB_KVCxZ5Q6IhwCicIXQR1pIQI&amp;data=05%7C02%7C%7C353cd9ffb0d1480b83b608dc6dce0cff%7C84df9e7fe9f640afb435aaaaaaaaaaaa%7C1%7C0%7C638505979014156919%7CUnknown%7CTWFpbGZsb3d8eyJWIjoiMC4wLjAwMDAiLCJQIjoiV2luMzIiLCJBTiI6Ik1haWwiLCJXVCI6Mn0%3D%7C0%7C%7C%7C&amp;sdata=mLj%2FLi%2FpzX1gjrdOQzM501MX5L6M1mnuj5%2F2k07F0PE%3D&amp;reserved=0" xr:uid="{505C85AC-186C-4BBC-9749-75F9560C9519}"/>
    <hyperlink ref="B238" r:id="rId11" xr:uid="{281B2BCE-10A0-4936-9F89-28DBDEF57358}"/>
    <hyperlink ref="B411" r:id="rId12" display="https://na01.safelinks.protection.outlook.com/?url=https%3A%2F%2Flink.mail.beehiiv.com%2Fss%2Fc%2Fu001.2jyg-3usY2mdFujK2m7ZJzIpZoYRjFBZkMnJLNMyFESA5Jw6N0XiUBsktOKRIfz__xztxU68aH47YsT41ChRpTI7A2AuDN3Rnk5KY7PeKeW9gdWnYtIay9wK90xAhDsbdAtJcr_UJblD98cJS1emXKYVlWio7bMrS71pxXo-BhVICCFTyKHgIkwD63mTEE95%2F44n%2Fxj269cubSPCp30rFSwMq3Q%2Fh12%2Fh001.2ebNGfCGuDUvKhS5TJouO5o760onWd1rkTYk1PRPR4k&amp;data=05%7C02%7C%7C26fe665ab5d14c8eff7b08dc4427e76c%7C84df9e7fe9f640afb435aaaaaaaaaaaa%7C1%7C0%7C638460185401052243%7CUnknown%7CTWFpbGZsb3d8eyJWIjoiMC4wLjAwMDAiLCJQIjoiV2luMzIiLCJBTiI6Ik1haWwiLCJXVCI6Mn0%3D%7C0%7C%7C%7C&amp;sdata=dIK5Z%2FRpuVEzZ635GmLgmVa%2FXzKDUTFqUrlh%2BoCAf1E%3D&amp;reserved=0" xr:uid="{1E1F5807-BDED-4158-9B18-BA685DDB4BFA}"/>
    <hyperlink ref="B418" r:id="rId13" display="https://na01.safelinks.protection.outlook.com/?url=https%3A%2F%2Flink.mail.beehiiv.com%2Fss%2Fc%2Fu001.QR8PDET7GVRZS9oWC_jpgCKu40y76QPgmyQJRpIkbbyhTbhDsLp5bGLA-W9KCYhlyNeGFbtnufzNZb3N5SZyiw-XCaGiSzkACwivu7_iU2yG-Jr4p5KcgQj1CUoVBnVsbM3LDt0L4InFFmrTtp37lUDPWwUcMtTNHG4mr7ASGfQ%2F44r%2FlBIL-YI8SSydaGrvmLxthA%2Fh13%2Fh001.guYiczXSy9O3C_alh3Gkcl69xA5Dg9JNzsbDc4N8onE&amp;data=05%7C02%7C%7Cf7b72fa7cfda4aa2db1c08dc475d6377%7C84df9e7fe9f640afb435aaaaaaaaaaaa%7C1%7C0%7C638463713718394770%7CUnknown%7CTWFpbGZsb3d8eyJWIjoiMC4wLjAwMDAiLCJQIjoiV2luMzIiLCJBTiI6Ik1haWwiLCJXVCI6Mn0%3D%7C0%7C%7C%7C&amp;sdata=YB%2BOCou4e2LoCvBVTi8wtBt2Y8QYmWF16Mjv5bt1VK8%3D&amp;reserved=0" xr:uid="{66F95F56-8CDB-4FAC-B8D0-16A57E11B281}"/>
    <hyperlink ref="B97" r:id="rId14" xr:uid="{7832D1CC-0666-4DFF-9D4E-B6E3B805C3E1}"/>
    <hyperlink ref="B38" r:id="rId15" display="https://h2o.ai/" xr:uid="{AA553D56-BD08-4521-8DF5-861A96612AB3}"/>
    <hyperlink ref="B107" r:id="rId16" display="https://build.nvidia.com/ " xr:uid="{ABBC6BB1-D36D-4994-86E8-9E49626C4119}"/>
    <hyperlink ref="B287" r:id="rId17" display="https://www.meta.ai/?utm_source=llama_meta_site&amp;utm_medium=web&amp;utm_content=Llama_nav&amp;utm_campaign=July_moment" xr:uid="{3E205B36-4E3E-4AFE-A2D6-A44D3F7B1307}"/>
    <hyperlink ref="C365" r:id="rId18" display="https://clickup.com/teams" xr:uid="{139BC823-830F-4651-A882-C8AE1C64DEA8}"/>
    <hyperlink ref="B111" r:id="rId19" xr:uid="{FE3551C2-BB6A-4F1D-BFCE-2DBF2F604C56}"/>
    <hyperlink ref="B109" r:id="rId20" xr:uid="{8329CFC1-32CA-4F83-9449-81EB738C9A7E}"/>
    <hyperlink ref="B124" r:id="rId21" xr:uid="{30246B5A-EA40-41CC-8B76-BCE873020B6F}"/>
    <hyperlink ref="B44" r:id="rId22" xr:uid="{D8BF7E7F-A605-43C3-9C97-3F01F6605699}"/>
    <hyperlink ref="B345" r:id="rId23" xr:uid="{E987F74F-77D1-4184-BE00-F5F32C430E3A}"/>
    <hyperlink ref="B339" r:id="rId24" xr:uid="{06B757D3-259A-4DFD-B0B4-3E0F33C43608}"/>
    <hyperlink ref="B336" r:id="rId25" xr:uid="{3A5F2561-3CC7-4FBB-80E5-49C8CBCDF8A6}"/>
    <hyperlink ref="B341" r:id="rId26" xr:uid="{D8058A91-AF4C-48DE-A856-1EF6A4EA4D62}"/>
    <hyperlink ref="B335" r:id="rId27" xr:uid="{2F532B20-14A4-4B08-8AD1-42810A21D186}"/>
    <hyperlink ref="B202" r:id="rId28" xr:uid="{0A0C39C6-53BE-43B8-86FD-ABFA8BEE3AC6}"/>
    <hyperlink ref="B161" r:id="rId29" xr:uid="{6FFE7BD9-55A4-4828-B8FB-CB7040C3E8E4}"/>
    <hyperlink ref="B103" r:id="rId30" xr:uid="{FB02603A-DB79-4BB3-971D-95B0F825085F}"/>
    <hyperlink ref="B106" r:id="rId31" xr:uid="{6AEA91B2-3997-4172-B227-323D344EF035}"/>
    <hyperlink ref="B128" r:id="rId32" xr:uid="{952D97E1-17F0-4A0C-A350-391B33ADAFAB}"/>
    <hyperlink ref="B93" r:id="rId33" xr:uid="{9A6CA996-E52D-46EE-9ABC-166B9C075163}"/>
    <hyperlink ref="B129" r:id="rId34" xr:uid="{540276AF-59A5-4BA2-AC98-1527391C238C}"/>
    <hyperlink ref="B251" r:id="rId35" xr:uid="{948E18FB-6D18-436D-BD31-5BD8B02A5673}"/>
    <hyperlink ref="B178" r:id="rId36" xr:uid="{A40F03F9-4440-42D5-9DD0-ECC200489D95}"/>
    <hyperlink ref="B177" r:id="rId37" xr:uid="{089F8004-34CD-482E-9B45-7AC7792B5535}"/>
    <hyperlink ref="B180" r:id="rId38" xr:uid="{04C8CEE0-E975-4BC1-892D-58DF68BE4B47}"/>
    <hyperlink ref="B85" r:id="rId39" xr:uid="{CCE81258-8F3A-4E1D-B9F5-989477A7EB95}"/>
    <hyperlink ref="B450" r:id="rId40" xr:uid="{B7815B4A-BD09-4391-ACC7-1A5F296798DA}"/>
    <hyperlink ref="B349" r:id="rId41" xr:uid="{02D236E9-A182-44D5-95EE-28B6A51DFE59}"/>
    <hyperlink ref="B102" r:id="rId42" xr:uid="{23D5BD80-03CB-4240-A948-8AC5776A4CBB}"/>
    <hyperlink ref="B216" r:id="rId43" xr:uid="{AA217E0D-B1A8-42BC-87AE-3BBCC5D02E4A}"/>
    <hyperlink ref="B321" r:id="rId44" xr:uid="{AA10AA55-F27D-47DD-89EC-35B165923B26}"/>
    <hyperlink ref="B130" r:id="rId45" xr:uid="{D1AC987C-7AC7-4D29-B729-C18E4BBA475D}"/>
    <hyperlink ref="B328" r:id="rId46" xr:uid="{4C881719-0BDD-4780-AF19-37587CEEE125}"/>
    <hyperlink ref="B329" r:id="rId47" xr:uid="{12324DEC-ADFA-4454-AE7C-D306FFC5D98E}"/>
    <hyperlink ref="B318" r:id="rId48" xr:uid="{942318FB-C300-471C-B584-7F867FEEE9A5}"/>
    <hyperlink ref="B173" r:id="rId49" xr:uid="{00A313DC-BAD4-4A01-AEE1-4E9E8D571765}"/>
    <hyperlink ref="B316" r:id="rId50" xr:uid="{A4ED1447-0E3A-4B5B-B54D-A39CEDC4BC34}"/>
    <hyperlink ref="B278" r:id="rId51" xr:uid="{7D1823C9-E12B-4379-A516-D510A831CCB8}"/>
    <hyperlink ref="B279" r:id="rId52" xr:uid="{C045CED1-6F27-42B1-B0A6-2C309A1DDBA0}"/>
    <hyperlink ref="B275" r:id="rId53" xr:uid="{8790D063-8864-4920-ACE8-CE3A9DF414EA}"/>
    <hyperlink ref="B123" r:id="rId54" xr:uid="{664F0472-5DC2-4307-A614-E6A48B70D20C}"/>
    <hyperlink ref="B391" r:id="rId55" display="https://mitenmit.github.io/gpt/?utm_source=www.superhuman.ai&amp;utm_medium=newsletter&amp;utm_campaign=openai-and-meta-announce-efforts-to-fight-ai-generated-deepfakes" xr:uid="{D66E62F5-DED6-416E-86B5-D88306DCCB7D}"/>
    <hyperlink ref="B210" r:id="rId56" display="https://na01.safelinks.protection.outlook.com/?url=https%3A%2F%2Flink.mail.beehiiv.com%2Fss%2Fc%2FAFHHY18NT0_ddKuYrElMRu58GYaawqbAhMHZGghiU7bfYAZNLDBnfmj43RIf1QBJUTcj4dA4PTGG9hrOBpPCc9SuUAS2SBnn0viFqGgbK__bEQ9ogz20NYgQcIgF1xCoUiokhCEqzWVcGn3wUH6wTCKOZreuFTwu0U20U07BqjX--6fXMHX8PlqnT7Dt8osS%2F424%2FBVkUGzYrTG-kh98VJPJSTw%2Fh20%2F8OLFKsg1bcRLKePQQ8BmnS54fI-X0-bCG_KPqRiwRRk&amp;data=05%7C02%7C%7Cfd3a0e0a2d644921ca6c08dbfcc76b46%7C84df9e7fe9f640afb435aaaaaaaaaaaa%7C1%7C0%7C638381705721564271%7CUnknown%7CTWFpbGZsb3d8eyJWIjoiMC4wLjAwMDAiLCJQIjoiV2luMzIiLCJBTiI6Ik1haWwiLCJXVCI6Mn0%3D%7C3000%7C%7C%7C&amp;sdata=dILcqnZhQh7dVADu8liAK6Uaqxk9lhB727vEnZ7N%2B%2Fc%3D&amp;reserved=0" xr:uid="{7650634C-AF25-4D11-878F-37BF6ECF00FA}"/>
    <hyperlink ref="B284" r:id="rId57" display="https://na01.safelinks.protection.outlook.com/?url=https%3A%2F%2Flink.mail.beehiiv.com%2Fss%2Fc%2FAFHHY18NT0_ddKuYrElMRsq1BiRCgPWWfbhSm6kOK2LBR8UpyAWneQWDq_vwctjkURXZUg_Vehqp6K57yIQzle76f0eOp8lbUM42ZJhAiLXBgkgaCwOrXCA2cacLfNawR9q9_7ULhJ57zoLBNaEmUKCbBvSF7RJjrIkclQU1FWIomjcoB9gzTEdCjqgdFFLh%2F424%2FBVkUGzYrTG-kh98VJPJSTw%2Fh19%2FB9cg3maJvVxbiPAlvXNv7pluZUnOpzDqLqDKmiwr1uc&amp;data=05%7C02%7C%7Cfd3a0e0a2d644921ca6c08dbfcc76b46%7C84df9e7fe9f640afb435aaaaaaaaaaaa%7C1%7C0%7C638381705721564271%7CUnknown%7CTWFpbGZsb3d8eyJWIjoiMC4wLjAwMDAiLCJQIjoiV2luMzIiLCJBTiI6Ik1haWwiLCJXVCI6Mn0%3D%7C3000%7C%7C%7C&amp;sdata=DB6ldcBbGY5%2F37YN12M8o22VrFROaNGTPr%2BU4wicL8U%3D&amp;reserved=0" xr:uid="{8A79B870-3C58-492F-A202-22E27F68224F}"/>
    <hyperlink ref="B421" r:id="rId58" display="https://na01.safelinks.protection.outlook.com/?url=https%3A%2F%2Flink.mail.beehiiv.com%2Fss%2Fc%2FmRpFJppvZP-Kc2DMS078G-NhYi2ZT0Wn6zOJBpw2cOkiCm4U0Q_lsC4sTz08gR7juY0OHlZJ_v5wUTHVYGdegPwgUsfyuUQk_dAXA7matYIagYCrIQ1RtDnk1m8onP5MKTV7-l80UEjziPV7Ui17r9WJsHy9knDe-Z5gpgI8gt1CGFDc5SP7modjxcxEBvhm%2F424%2FBVkUGzYrTG-kh98VJPJSTw%2Fh16%2Fqj4yGKVsIXYeh8Rd5EzkQ7aIj3BUShY9yingbo6v2pA&amp;data=05%7C02%7C%7Cfd3a0e0a2d644921ca6c08dbfcc76b46%7C84df9e7fe9f640afb435aaaaaaaaaaaa%7C1%7C0%7C638381705721564271%7CUnknown%7CTWFpbGZsb3d8eyJWIjoiMC4wLjAwMDAiLCJQIjoiV2luMzIiLCJBTiI6Ik1haWwiLCJXVCI6Mn0%3D%7C3000%7C%7C%7C&amp;sdata=wRgOYG1sNRMQ%2F9CNOVpIoD%2Fpc5pK3NsShtRoTIReYwI%3D&amp;reserved=0" xr:uid="{EE263D85-B0D4-498B-ADBB-547C1571B3DB}"/>
    <hyperlink ref="B424" r:id="rId59" display="https://na01.safelinks.protection.outlook.com/?url=https%3A%2F%2Flink.mail.beehiiv.com%2Fss%2Fc%2FAFHHY18NT0_ddKuYrElMRu1mM61JyYHmDwISLt1_boqDP0feY1wfKIbdxB64KedpQQ-U1wXug_G8DssvdkKdmbH_V9KgbWSTWW5EBuhkGDshCOW4sObvEGEo3VWGJ4BqwIHumjhy-eEldRP9m6IAxP0Q4zVD0svr0cM9miK_IT_8kUqqfgloFPmuimGsBDTXk0kuxtEetMaEMbLuZWT4gA%2F425%2FBAt7DEa7RBuNXTUzReGD5A%2Fh17%2F_BnEVcAtYArGenqcRkA8yZ70YM7694aMUIY_8-TP8Dc&amp;data=05%7C02%7C%7C9a9fcf3ef1f04979b0cd08dbfd90c779%7C84df9e7fe9f640afb435aaaaaaaaaaaa%7C1%7C0%7C638382570530352505%7CUnknown%7CTWFpbGZsb3d8eyJWIjoiMC4wLjAwMDAiLCJQIjoiV2luMzIiLCJBTiI6Ik1haWwiLCJXVCI6Mn0%3D%7C3000%7C%7C%7C&amp;sdata=gH2QT%2Bc3hDYBwgzQ9xSAR9TFZXambtGXlvOsKrKRrQI%3D&amp;reserved=0" xr:uid="{0E34A133-E2C9-4711-A912-75C79287868C}"/>
    <hyperlink ref="B311" r:id="rId60" display="https://na01.safelinks.protection.outlook.com/?url=https%3A%2F%2Flink.mail.beehiiv.com%2Fss%2Fc%2FAFHHY18NT0_ddKuYrElMRnfH6BtS_Ry27Qz3s-fdKyd6N2Dhqy8PkZJnHQCjzAwHaNd59NrZLyIkvpcCxsH8M5YRF3RBsw5IB30G25-HtCiK3gdNCwpSwwTNz8RmC7x8lnj1R-vH5uThraL0WD0rMCH80u3vVELUODUfzyvkCUrtnGEuGGX0GHLCP0rKvxZs90-SfNwZ1_d0ifhoaSaMKQ%2F425%2FBAt7DEa7RBuNXTUzReGD5A%2Fh16%2FfItVy1tnloC2pLOXfXPnuqhO_I8sBDYbuj0BFwiVpIw&amp;data=05%7C02%7C%7C9a9fcf3ef1f04979b0cd08dbfd90c779%7C84df9e7fe9f640afb435aaaaaaaaaaaa%7C1%7C0%7C638382570530352505%7CUnknown%7CTWFpbGZsb3d8eyJWIjoiMC4wLjAwMDAiLCJQIjoiV2luMzIiLCJBTiI6Ik1haWwiLCJXVCI6Mn0%3D%7C3000%7C%7C%7C&amp;sdata=OCelr%2BUORY56zVK3VpDs64P8V4QHxkgVxpA1GmmKFQE%3D&amp;reserved=0" xr:uid="{9EE7D9C8-C7FC-484B-9399-FA78EF225637}"/>
    <hyperlink ref="B312" r:id="rId61" display="https://na01.safelinks.protection.outlook.com/?url=https%3A%2F%2Flink.mail.beehiiv.com%2Fss%2Fc%2FAFHHY18NT0_ddKuYrElMRhzYGPyesZgWVNRT0sMV1v7Z4wrziAuaYv9zZ0QgAzjD8Rm6iize4pmZtYE_xRn8ZNf0oBTAtaE1ApFK1To80nJDvSV_wr-YOnj_9LhA6yxQTvrWP9kdzzEBprwl-vvEUKkR_Fj_r2ynTKCzw5bUnHIRbL4NE_zI9PGyfz1RPwFCSSOn5REFnuNiZVzQ-uXL_g%2F425%2FBAt7DEa7RBuNXTUzReGD5A%2Fh12%2FL9iKasKiliaSEmpHd57G1GnkIXpsBoWQo1PQm0EUlHU&amp;data=05%7C02%7C%7C9a9fcf3ef1f04979b0cd08dbfd90c779%7C84df9e7fe9f640afb435aaaaaaaaaaaa%7C1%7C0%7C638382570530196297%7CUnknown%7CTWFpbGZsb3d8eyJWIjoiMC4wLjAwMDAiLCJQIjoiV2luMzIiLCJBTiI6Ik1haWwiLCJXVCI6Mn0%3D%7C3000%7C%7C%7C&amp;sdata=K87DRHm36KM4R0PS9CVMRhrifXC0AqU6OaF2vcrhkyo%3D&amp;reserved=0" xr:uid="{8C10A3E5-6D11-44D8-9952-D110149B17D8}"/>
    <hyperlink ref="B209" r:id="rId62" display="https://na01.safelinks.protection.outlook.com/?url=https%3A%2F%2Flink.mail.beehiiv.com%2Fss%2Fc%2F8iXKAwwMM1W-cI7L7LOvGlcp3Sb4Z0vYQYId4ohf5IYElgTeO02TlBmyUVIjnQd-XmyzF78F-t-OEvR5Z-BFM6AeE0mR7XgSY5vdpKBqJtKoQ90iPYrwCPoIaTjmZkVWAYYLSaN7c3MpS6-lFkHENb24dC-pZl0_sRv0HB12YNx3i0nRyxyvBk8V33kQLmta%2F428%2FXDkX1EU2RguIZ3sW5zoTXg%2Fh22%2FyNzPdCLCutefiHcfilaBAy1mMzemODQB6ovNHUEdPCk&amp;data=05%7C02%7C%7C131e8d403b6f42fc230808dbfff04d7d%7C84df9e7fe9f640afb435aaaaaaaaaaaa%7C1%7C0%7C638385179834820604%7CUnknown%7CTWFpbGZsb3d8eyJWIjoiMC4wLjAwMDAiLCJQIjoiV2luMzIiLCJBTiI6Ik1haWwiLCJXVCI6Mn0%3D%7C3000%7C%7C%7C&amp;sdata=tSaJ6yYmQy63MjRLEpRBQeMlv2LXvPZC0ezPp61sa9A%3D&amp;reserved=0" xr:uid="{F9C1FCB6-C74C-4179-A8F1-3E0A6F9C0B5C}"/>
    <hyperlink ref="B413" r:id="rId63" display="https://na01.safelinks.protection.outlook.com/?url=https%3A%2F%2Flink.mail.beehiiv.com%2Fss%2Fc%2FAFHHY18NT0_ddKuYrElMRqCnMmeOl4wst7cNUGZ5bmz-0qnXDW_ue3cVmSUdfxNqRUzKJ954mvreFrm6lFQ3bHMyTbR-dYv3z7LtxYfNI5mxgHdFwDtmP4TYzBE9nbrfn_Hg7B2fpHNY9EN3FYOLhmkAEJ9y3BN2FGJTELSEUz4oky-LL1ODi-Mxto9yKaSf%2F428%2FXDkX1EU2RguIZ3sW5zoTXg%2Fh21%2FSF3hP91TkgXsvDD0JMfqdDMkWaAdzvY5DtvST9cM15g&amp;data=05%7C02%7C%7C131e8d403b6f42fc230808dbfff04d7d%7C84df9e7fe9f640afb435aaaaaaaaaaaa%7C1%7C0%7C638385179834664319%7CUnknown%7CTWFpbGZsb3d8eyJWIjoiMC4wLjAwMDAiLCJQIjoiV2luMzIiLCJBTiI6Ik1haWwiLCJXVCI6Mn0%3D%7C3000%7C%7C%7C&amp;sdata=i1jCAeCwry3JaL7zSKjJuoWubp84MXsZpPEEQDWD2Tg%3D&amp;reserved=0" xr:uid="{4F761C6E-D040-4C63-ACDE-86C6296F6E49}"/>
    <hyperlink ref="B137" r:id="rId64" display="https://na01.safelinks.protection.outlook.com/?url=https%3A%2F%2Flink.mail.beehiiv.com%2Fss%2Fc%2FmRpFJppvZP-Kc2DMS078G2rrBdW9rettrQh38DIfn7atzoTMfp21D2scGbKwWxFWOiJpnchnbdtk3mbZAQ3E8kxwJ4VACrNMl4pxsWBwifdWox2MF5ogiIDNDmyIvK5lM8EWU7usSN_Qg73VgZcI2aLlfwxphsO7w0XZ5Sx2D9JDTpKUzADoXp6thDQvxjpz%2F428%2FXDkX1EU2RguIZ3sW5zoTXg%2Fh20%2FgAYP7fLx7IBkUbpHF0x4aCDcozc5Z1ZwsVX2js2mnkY&amp;data=05%7C02%7C%7C131e8d403b6f42fc230808dbfff04d7d%7C84df9e7fe9f640afb435aaaaaaaaaaaa%7C1%7C0%7C638385179834664319%7CUnknown%7CTWFpbGZsb3d8eyJWIjoiMC4wLjAwMDAiLCJQIjoiV2luMzIiLCJBTiI6Ik1haWwiLCJXVCI6Mn0%3D%7C3000%7C%7C%7C&amp;sdata=4%2BR5a1vxtXHHpVcZPLQljxGUa4cRWfcH42m4ammK%2B0U%3D&amp;reserved=0" xr:uid="{D55E6871-ECCD-4DE2-BFCC-6B36FB1CB4C8}"/>
    <hyperlink ref="B353" r:id="rId65" display="https://na01.safelinks.protection.outlook.com/?url=https%3A%2F%2Flink.mail.beehiiv.com%2Fss%2Fc%2FAFHHY18NT0_ddKuYrElMRrCcp2IMNBxi_XpiIklx4K1TkcMmo-JeadCgjXHSgu_qypTem5wSaSg9zYHOBbFZsYJopCPgivmFbl0_HomHVizj3T8rNy2I92rALweUBlUAxlWAYw_K396gBqf4cN_1sD6pN9W5Xjo_ZHXBGrkwN06MOge9QzsgN7XOomFV6Ppl%2F428%2FXDkX1EU2RguIZ3sW5zoTXg%2Fh18%2F2C-_Bwu05hLBmjTdQ9KEYe5HlhHUjN75y9bVwM8LGgc&amp;data=05%7C02%7C%7C131e8d403b6f42fc230808dbfff04d7d%7C84df9e7fe9f640afb435aaaaaaaaaaaa%7C1%7C0%7C638385179834664319%7CUnknown%7CTWFpbGZsb3d8eyJWIjoiMC4wLjAwMDAiLCJQIjoiV2luMzIiLCJBTiI6Ik1haWwiLCJXVCI6Mn0%3D%7C3000%7C%7C%7C&amp;sdata=t7IB%2BSgzD3zEW9iDJFpZL6CxMQYYx4brm1H7QZmKNq4%3D&amp;reserved=0" xr:uid="{12C4EB9D-88BC-4D71-A766-C83B144E09A0}"/>
    <hyperlink ref="B305" r:id="rId66" xr:uid="{FD3ED624-A483-4D0F-BAE2-8DA53B209666}"/>
    <hyperlink ref="B289" r:id="rId67" display="https://na01.safelinks.protection.outlook.com/?url=https%3A%2F%2Flink.mail.beehiiv.com%2Fss%2Fc%2FYHTaa2XonDw2f6U1lKEHzcbPtVxLLK3P23Ej8ZqWRPrgGkhbSjYCUfXcttkBTjbHRLHQO9S4QG0243N4WGxNd-1-2ahpAFlgDFyUDoUQBu479ZpKZgvlAwIldjvxSEq55qa-mNVXNl2znlx5kvsaHg-2ez6rmUrzB2miO0AMGRADltJmf2pilRN1kU7KrCXw%2F429%2Fh2pqv3d1RQ67Bfh-NIiP1A%2Fh19%2FikbS-MNAs8-araeY7iouikyyix39objHvKooRm_y9xQ&amp;data=05%7C02%7C%7C217feb6faf81474831eb08dc00b512fe%7C84df9e7fe9f640afb435aaaaaaaaaaaa%7C1%7C0%7C638386025021594445%7CUnknown%7CTWFpbGZsb3d8eyJWIjoiMC4wLjAwMDAiLCJQIjoiV2luMzIiLCJBTiI6Ik1haWwiLCJXVCI6Mn0%3D%7C3000%7C%7C%7C&amp;sdata=%2F8u5PGv0h4duMeTBBHBfwanUDnB9WoOU8KICXWc0WCs%3D&amp;reserved=0" xr:uid="{0A5E0D2B-F537-4E3F-A404-43C43BE458EC}"/>
    <hyperlink ref="B231" r:id="rId68" display="https://na01.safelinks.protection.outlook.com/?url=https%3A%2F%2Flink.mail.beehiiv.com%2Fss%2Fc%2FAFHHY18NT0_ddKuYrElMRo4ER7E6tGGkYv9qwEM3U4YSkHG76--1KxcErT6osjj-0c_DgyJPQZnc1riLZ9IPxODnkGkTSp7kXLBBZ4lLIUhDE4iYuBKWueDJNz1EWLNylkCYmEUz1IM8UgtvlpweS3T9i6_p442sw4mXoVL-fi_-towuiW7DUVv4v787hs73K418UHrZ1SvXydwaZDWItA%2F42a%2FDUYKkIPEQImOg2lwGf1dYQ%2Fh22%2FnL8E-03JCbE5wTnqANrFnAKwRFGdGE7jRdYw9y9Ep2U&amp;data=05%7C02%7C%7Cc07a9ba8d37e44a91f2f08dc017e4279%7C84df9e7fe9f640afb435aaaaaaaaaaaa%7C1%7C0%7C638386889054421601%7CUnknown%7CTWFpbGZsb3d8eyJWIjoiMC4wLjAwMDAiLCJQIjoiV2luMzIiLCJBTiI6Ik1haWwiLCJXVCI6Mn0%3D%7C3000%7C%7C%7C&amp;sdata=bPwdGUnz7nWbZm6fQ84CqcfctrJugUQaDcEzCGjUcyE%3D&amp;reserved=0" xr:uid="{2BFCBF99-F596-456D-8D40-CFB6D5F99461}"/>
    <hyperlink ref="B168" r:id="rId69" display="https://na01.safelinks.protection.outlook.com/?url=https%3A%2F%2Flink.mail.beehiiv.com%2Fss%2Fc%2FAFHHY18NT0_ddKuYrElMRonZvaoYnx9aa-aqnTBBLfZRu-NnTS7gZ9v4zl_5bhBZwAncdeTJjXEFxpYDzoFxKZN3ADyUSlgNhnBAQN5TRfson_ciMNOJvyPG-509kon0DZCQHN6KYQo5s_ZTlziIihFsyBW3fHD-RfS5i3DgUOYxqwPPRZnt4Hg3ObCW710vF-cukn2-5dB8BPaY8NUa2Hk_HTKjXT475X4fX6s8Zok%2F42a%2FDUYKkIPEQImOg2lwGf1dYQ%2Fh21%2Fs21YA6otaraXkvsDHUSyqgHGpjT-noRczUOG9GDcGXw&amp;data=05%7C02%7C%7Cc07a9ba8d37e44a91f2f08dc017e4279%7C84df9e7fe9f640afb435aaaaaaaaaaaa%7C1%7C0%7C638386889054421601%7CUnknown%7CTWFpbGZsb3d8eyJWIjoiMC4wLjAwMDAiLCJQIjoiV2luMzIiLCJBTiI6Ik1haWwiLCJXVCI6Mn0%3D%7C3000%7C%7C%7C&amp;sdata=y%2ByRXTxMHrDsADqYYgfAH%2BF4qCE%2Bf3Jfm4mX1bGhIPM%3D&amp;reserved=0" xr:uid="{A083FD27-C24A-4072-9E64-58BEAF156B48}"/>
    <hyperlink ref="B268" r:id="rId70" display="https://na01.safelinks.protection.outlook.com/?url=https%3A%2F%2Flink.mail.beehiiv.com%2Fss%2Fc%2Fz0X5DY489zjmVLlFQopoHRCHH3wh5jmHDuaoN_N0ZmGDnsv46CP4PfEx0nBmbSB7VJycF2PppscZSEfzPYecgZVMrwWnXsVGrcWhcBgG7MzH7KMhKjgKRRcUqcc9JAVreLbT1iQuM-IUu17u8RwxE7RuqzGPMbIhUuh_k2Uyp5-52s3aU08kueTPito064FT5YCmBZyoFH1e_t0k8ly4jw%2F42a%2FDUYKkIPEQImOg2lwGf1dYQ%2Fh18%2FKURJNxPzdZRbF1wBHqsPfKjcAoaya-uXT5oz2jykr_M&amp;data=05%7C02%7C%7Cc07a9ba8d37e44a91f2f08dc017e4279%7C84df9e7fe9f640afb435aaaaaaaaaaaa%7C1%7C0%7C638386889054265389%7CUnknown%7CTWFpbGZsb3d8eyJWIjoiMC4wLjAwMDAiLCJQIjoiV2luMzIiLCJBTiI6Ik1haWwiLCJXVCI6Mn0%3D%7C3000%7C%7C%7C&amp;sdata=nO2XD6jtBnvJ2m0nRJ78KtusNtzZ0bm7UKI6c%2Fpxnos%3D&amp;reserved=0" xr:uid="{B55AB8D8-61F0-40F4-A3CE-B19EE3328CED}"/>
    <hyperlink ref="B35" r:id="rId71" display="https://na01.safelinks.protection.outlook.com/?url=https%3A%2F%2Flink.mail.beehiiv.com%2Fss%2Fc%2FAFHHY18NT0_ddKuYrElMRku4CpQ8eS1ttfx2igCgGqqJPHiRF_w2PQ-iQJgispeT46AKhjw2ZjOaHb6gKQqRXGoqOD-0URKnbbb2BtL2k4MWu5eNfDpqyWdL3lN4TGSGfna8mchPfLw7hLKWlO_KX8MU30g2nO893yu8DZnPrjMjG6jWagFxsiHuO3RIEkz8%2F42c%2F_WBLUzqHQW2DWE7sPqeatg%2Fh20%2FUolPy5kM-_teyzPjJ8Dp0R2ynJWWCc5bw53X2_y43ho&amp;data=05%7C02%7C%7C3895aa4839e94f9ef30208dc03111ceb%7C84df9e7fe9f640afb435aaaaaaaaaaaa%7C1%7C0%7C638388619287900547%7CUnknown%7CTWFpbGZsb3d8eyJWIjoiMC4wLjAwMDAiLCJQIjoiV2luMzIiLCJBTiI6Ik1haWwiLCJXVCI6Mn0%3D%7C3000%7C%7C%7C&amp;sdata=fq0GthOo89ykdnwF%2FQJXCaT86dguwMAzfs1j8HfUKco%3D&amp;reserved=0" xr:uid="{66487159-2049-4504-8253-7666C624F8EE}"/>
    <hyperlink ref="B404" r:id="rId72" display="https://na01.safelinks.protection.outlook.com/?url=https%3A%2F%2Flink.mail.beehiiv.com%2Fss%2Fc%2FAFHHY18NT0_ddKuYrElMRtI00OhznQyO9omeD1h5CimkEBgFxHaysmDZUVIV-TNL31En0qWuSSOOii166EzicuKYlOULb6ZSXzdF7fkCJOLiKbCRNb6S1ebp-bYwaTVv7cewCTa6IJrGfZgNcku5jLDKPpAkpiYrmCJPHDdhIbSdr16p9Bn6_6yfG1zi_KKF%2F42c%2F_WBLUzqHQW2DWE7sPqeatg%2Fh19%2FI7R6K8TCgUR2KdDAAYWCQcOwYeWosJRLtYnLgv5eqvs&amp;data=05%7C02%7C%7C3895aa4839e94f9ef30208dc03111ceb%7C84df9e7fe9f640afb435aaaaaaaaaaaa%7C1%7C0%7C638388619287900547%7CUnknown%7CTWFpbGZsb3d8eyJWIjoiMC4wLjAwMDAiLCJQIjoiV2luMzIiLCJBTiI6Ik1haWwiLCJXVCI6Mn0%3D%7C3000%7C%7C%7C&amp;sdata=tca27GK1CI1ohvjJAWKLnXzCMg9aPqHwzXIH42f4BeQ%3D&amp;reserved=0" xr:uid="{0CDB2134-627B-4E33-972F-45431FA6CA8B}"/>
    <hyperlink ref="B401" r:id="rId73" display="https://na01.safelinks.protection.outlook.com/?url=https%3A%2F%2Flink.mail.beehiiv.com%2Fss%2Fc%2FjMFTGBN48XY1wUMNWd3dQGyHNhMMSXsNBagoKyz8Ag_fDqKIEWPR1vBGQkxc9waVuHePCPCGFHu1p8zN0O-Tzbfl14lnbtYClxrOecCWFTCKYjMKrFnb81gpCG6VeiVVXmYcyDIS8MuXZF-Wlx8-X0hdjsHFp_tUKZC3Gn3JT7NWFcdMbwZ57HdrNUu-L-Zz%2F42c%2F_WBLUzqHQW2DWE7sPqeatg%2Fh18%2FbsH-W8SAEkPbLirhm90bEluh4RfHyNMksXQn2HXOGQM&amp;data=05%7C02%7C%7C3895aa4839e94f9ef30208dc03111ceb%7C84df9e7fe9f640afb435aaaaaaaaaaaa%7C1%7C0%7C638388619287900547%7CUnknown%7CTWFpbGZsb3d8eyJWIjoiMC4wLjAwMDAiLCJQIjoiV2luMzIiLCJBTiI6Ik1haWwiLCJXVCI6Mn0%3D%7C3000%7C%7C%7C&amp;sdata=jnXlR4EwsraD8%2BDtYQEcpbO2n%2F189BTApHBRk4VqliQ%3D&amp;reserved=0" xr:uid="{DFE8A12F-7B20-4F0E-BB2D-EE0D1D7E6369}"/>
    <hyperlink ref="B194" r:id="rId74" xr:uid="{8F25B8A8-36A5-4805-AF32-B30AA30800C2}"/>
    <hyperlink ref="B437" r:id="rId75" display="https://na01.safelinks.protection.outlook.com/?url=https%3A%2F%2Flink.mail.beehiiv.com%2Fss%2Fc%2FAFHHY18NT0_ddKuYrElMRsC79YZhD8WlzUuZ-GDa7Bm_FH2FiBlkyRkyiTOhR2h67OsK33_ecFYVsW9YymEW3_w1fZZFoPwhC8z3_zgvwc9-Y78OV9BRBeDaQr64alOguCmWnh1PX2BzE_6IV3Z-0FHaXemACHm_ZKvKVqdKArAGZOosuz38mNO8rPc1Nb-9%2F42c%2F_WBLUzqHQW2DWE7sPqeatg%2Fh16%2FT5csxwASQoSYcyZu7X_KHEvfs0YU3GW9lZE8M-Nt3Ow&amp;data=05%7C02%7C%7C3895aa4839e94f9ef30208dc03111ceb%7C84df9e7fe9f640afb435aaaaaaaaaaaa%7C1%7C0%7C638388619287744292%7CUnknown%7CTWFpbGZsb3d8eyJWIjoiMC4wLjAwMDAiLCJQIjoiV2luMzIiLCJBTiI6Ik1haWwiLCJXVCI6Mn0%3D%7C3000%7C%7C%7C&amp;sdata=i54DCTe%2FLCnK973Uo8uJiSpU6yE9CNNSXgunFWYEkg4%3D&amp;reserved=0" xr:uid="{A9E8F7A0-9069-4274-98ED-1F58CD823945}"/>
    <hyperlink ref="B272" r:id="rId76" xr:uid="{C8B685BF-7B5D-4ABC-A53A-6DAA5EF91069}"/>
    <hyperlink ref="B208" r:id="rId77" display="https://link.mail.beehiiv.com/ss/c/8iXKAwwMM1W-cI7L7LOvGonLCHF6B4p42HQRFvwehtrjdvCHnbecO1dObbkzwuACRyd8Fvx5F3HqVx3VWZN7W12ao7WS0VmXjlSqbXqrl7WDHQ-li5Xh6vNWltwzKKKjMQwd36xfdHH_5H_-pgkgoy1-gMU0lzUxImLunyRqwuV319XKZPoD_iOjCF44gPO7rr9pXrT18foLg-Dg4BfebOF9Jh7nBNf8AcKrIua5nFo/42i/j5yR117ZR1WBEiOGjECApA/h14/W9eMNYdEchEWi7rcT12iZsdmIpsexBB-RuoqDcDEJG0" xr:uid="{3DF01637-F14D-4745-858C-FB067CF759EE}"/>
    <hyperlink ref="B258" r:id="rId78" display="https://link.mail.beehiiv.com/ss/c/kTklpAxml3EW3RaiF8_gQo1traclj0rerTN1GGQgHToh6onQWkfDzAfbLpvApOP4G-JxFSzSSY66hBJ5VmMf3LbQ_HrSnnaCy9kiaODN4HcDlD-UzAyyv_EkuYM3VHD35ZBvywlDeYrkhHfKfZ9swyFotfIYJB_rpeivsOknFqvRgrXfDsZVxulqVAKqYd11Hn0SjN30WceLs66-r-PNmfihjMUEu74aRvArxBtjyf_ckPWyc84jg28c5OS5ndah/42i/j5yR117ZR1WBEiOGjECApA/h13/2Ljyv2BXV_sr-oN-ZljbTikyBemBxLobI7QWGn1lD-c" xr:uid="{B182459F-4878-4747-A981-3DF90BB41A3C}"/>
    <hyperlink ref="B310" r:id="rId79" xr:uid="{1003F792-D942-4443-A564-F794A34C028E}"/>
    <hyperlink ref="B366" r:id="rId80" display="https://link.mail.beehiiv.com/ss/c/jMFTGBN48XY1wUMNWd3dQEmwVWgz4Llas26eQ3GOge9nMC0ZY7JG8iuBBOr_5qtUNEhkFcbZrWc1jQlGQ3M8HOfoyc6Xqo3DZFI4-o-6NoFhsfJ41gm65TcGbEu5H350AcyppHYsr7w08rSDl8YQVaq5V5-PQTpxeYRq4bE_iCaf_KQc3r53WnPIC_pjm40Y9a9w2k6bE5G3J1OAoJGaB-cyV2CaSzPoc8ALTltUcGjUhmTiAzIoxTm3HFMYAE04/42i/j5yR117ZR1WBEiOGjECApA/h9/3BA8_moIxHTBl-LsweYdjv5CkDGp6uY12Qm03bk6vDA" xr:uid="{7E7E93E5-FAC6-48FE-A932-8C3DC7873D35}"/>
    <hyperlink ref="B80" r:id="rId81" display="https://link.mail.beehiiv.com/ss/c/AFHHY18NT0_ddKuYrElMRqy2GU225o8kdHSdqDQYD8O20WpZD27r-8y31V--LWll15vjeMg5mo1zEXqCvqQ8hobMmCoGUT-sXn6uHM7K4sFqqQi1CZt7ErY5HQ3zf8gD2rsioWrOZHv_gQQXh_2gEIggbVtn9j11cg1DV0czkg_VyI9x_olYJU8Y3aC_US3r9haRjx7ipnDBN_ewGAPX7AKWdlfRWOPNkhoYMQcQOTiYXpG82FOY50vBaQCP6UdP/42i/j5yR117ZR1WBEiOGjECApA/h8/wWTDR6xfLMYo4MIJn9-CyDMdyfPXOCmF00O20y956Aw" xr:uid="{AC48AC30-2F18-4E63-B754-668DAE135F53}"/>
    <hyperlink ref="B172" r:id="rId82" display="https://link.mail.beehiiv.com/ss/c/AFHHY18NT0_ddKuYrElMRg_n-wMwJyonvLN3HS3nhHskoLU31UYS472whkFVCeQZHk2f9DNH9zVRUvTzLK6y0OczfJVAlmiKlqjuxfj8rhpmbTziFuO9y-7MFHK_1T5WojogKEOVTtfhjatmBv-sMkFwebiOH1hXXIw9SDacxg3jOVUKRKLihqCTt5mrVceEPVN6tRhJ4wIcW83ynxVRZg/42j/zCbDb32ySbSS13cvqNaY0w/h8/7hwqCe7idcULWFtkUQVejKJFfa7TQD9Vmk6Qo5kYIO8" xr:uid="{6D236224-AAED-42EC-9AFD-8108E9515CEF}"/>
    <hyperlink ref="B143" r:id="rId83" xr:uid="{AD69538D-BFF0-48CC-8DB7-BD9956732AA8}"/>
    <hyperlink ref="B110" r:id="rId84" display="https://link.mail.beehiiv.com/ss/c/8Y-VoJkoDnX1zI1WLAgXF0gvM7ALbHzXsZPbo5IwBn3Dxq2-GRW0JMpOxL5CCb7qbE1QdA4pHGKoQO_VatJNdZ45R_v2LojCynzap4dntMm-5IajaLzhYJ2YYuJ5V0-flZU2b2iFJCWotd6z8qlDb1Myy8NuhH0P3An1JGbBKbyPEZ-nzM8fq2_goYlIPuJN/42j/zCbDb32ySbSS13cvqNaY0w/h5/PBKo3WxQCrZSXz-i1vmXjMJP2K30H1h3As4G_0gdJ8g" xr:uid="{A03A0C69-D08D-45D7-86E6-CF051D2E8148}"/>
    <hyperlink ref="B176" r:id="rId85" display="https://link.mail.beehiiv.com/ss/c/AFHHY18NT0_ddKuYrElMRodQo-JkJS1ps8aZKh-QkXCyO1ePEGA6pcEUdXKr8f5nS1udQLUiZAgF29SZRFi8KmRJOhbZnAphBbxF5oJSkFkenYNEKXAyk6TmrYPU4aOfKlbrcWNNhGOOtd9NtIzt83t651plgqpNeE6AaaGdujJ24F-jyUBGNcb5ehJXvNIy/42j/zCbDb32ySbSS13cvqNaY0w/h4/vnCwuunf4QnZPoaSR3IUp1LPnTrXfmTzwG-qwNYUFWY" xr:uid="{47A49B2D-EC16-4A4D-8A7D-1CCD184305B1}"/>
    <hyperlink ref="B333" r:id="rId86" display="https://link.mail.beehiiv.com/ss/c/POWe797IScGqQ9xtiHvVyITpz1X-DjuhqyBleB1i9h3CVKXWuebxSTku4Y5h_Y2eTw-BdtsAGe7mMylPiXXckwC1PofWbMj8QetAz8NHvuoGYe47TQxvyM3V7g026WRgcNXOhP5FCmUjcUAztyGw5s3vtm0qUT8m6vWRlaLiQFo/42n/9aXz3kL9RF6U874vSWwJ_w/h18/CedtS7Lp9JzW46zQPKN4618BFBLH0aFRu-MWZrL50v4" xr:uid="{CDE94C8A-0D2D-4282-85E7-B38E4EFEA340}"/>
    <hyperlink ref="B243" r:id="rId87" xr:uid="{A574C41E-22E6-4863-A60C-7D311F2CC584}"/>
    <hyperlink ref="B257" r:id="rId88" display="https://link.mail.beehiiv.com/ss/c/AFHHY18NT0_ddKuYrElMRvK8CCJYonBYZY-oLgHs1MEe5ClFDId2JlzXwRZ_7eLp3GnKlFs-DiY20Kx0dEl8qAZeD3kqRUhuP5TzjY_-9FChN629X6_RQ6ZQ8txQ36dFQLYiY5IcXa9__0mWRI3gnz3AloTrCpscLwCDx3iY4MU/42n/9aXz3kL9RF6U874vSWwJ_w/h14/NSSK_g4JOnEpXi8atu3TRCd40mHB2VoHA-HSOi2n3bM" xr:uid="{51B3EB05-B6EC-4C41-B774-94B960756DB1}"/>
    <hyperlink ref="B241" r:id="rId89" display="https://link.mail.beehiiv.com/ss/c/8Y-VoJkoDnX1zI1WLAgXF_8zC2MmrTig-kV7cG2eDmlHf2ESG5yZS6uTSHOoW_ZSOtyFCC0Y41NtQ1W_1b8i-KdF3DfnJeGaomB9dXKSAFx9eu79UxOo9dyZVXkGDta3G-JXydtxxxDoEguKPpSMnQM5vWI6SavwX5IVN9d16wJ8hpLcRjWnDGoWA5RuT6UTds4JVrDkpLELt0nL3HIu8PULvguoEYtCSKulyYsPs08/42o/Cyadq-2ySeygr9jbdj1HBA/h24/K7ZOVtjSUId8LxC2ry4oQVx6G4mbg1_NyXb60SUTTqg" xr:uid="{A66C5E31-70F7-49E2-87BE-7F79A6F79C6F}"/>
    <hyperlink ref="B438" r:id="rId90" display="https://link.mail.beehiiv.com/ss/c/z0X5DY489zjmVLlFQopoHSk8p9OUneEIE4JABp4j8kifdHQuMwaSJir984pJLsOtQNJgSPMNCNkc53r3hIlu5l_O9anCtJzX0Q3WplekcnsBbggT-RiFTfVf2gXW-l4Y59ie-80JqXIF5fr75u-TwGIRQdaOh_T1zFwBrB6R0-kEZttKFANJJ60GfxaszVUBLPNHQ7ciTIGAwoo5Oa4K7w/42o/Cyadq-2ySeygr9jbdj1HBA/h23/R5KAQH_jxGh3mdZaYEPzaachmK7V7fwXozBEdLqorG4" xr:uid="{21682489-039C-4BAE-8779-A1B05D9DCF05}"/>
    <hyperlink ref="B56" r:id="rId91" display="https://link.mail.beehiiv.com/ss/c/-72w8iesgkP33vyeWj1Mx5nhZXQgkfo57t3dH6PppwzA0v9G1rDw8FQAdjRc80bwYef4a4ipAhwTIHjheNaIISebjYn2zcKnxWKl9oRzPgCw7E5VRvdRDkckc_x4pE-wuCPck5LRqSTu2119P2Hlz9GE3ccZQ2MtERChi-nwOdXkOVvKx42MjTvfNxM6p0zpQucHonVN-TCzJelzurfAOw/42o/Cyadq-2ySeygr9jbdj1HBA/h20/wT0C0ZMPy_VpF9LTYSG8ouwW54QYvQPn7wAC8fH73M8" xr:uid="{291385D7-581A-4D0F-B5C3-EF09629090C1}"/>
    <hyperlink ref="B45" r:id="rId92" display="https://link.mail.beehiiv.com/ss/c/AFHHY18NT0_ddKuYrElMRs05rr-SCUDWfEdQMtKWsEmHN5vjGwQEQrot_Vem-QwVWIssxdOmLbSvglPNWdSwUyGfYmtWkFkf1flt7iXHjRJ_BX-XYEkidu-CrPXidlMEzNlgpl8cfLZqdWex5A_M4caaYI5OJwswv_9LPcBI0X8-B9X7nniWkroKKsrHDSf3nuKvuUZANxgiojzesMI_MxaCNpu6Ir5z5EYDAqbv5tA/42o/Cyadq-2ySeygr9jbdj1HBA/h19/uG8b-fOtUDbkXthrUsbRBIdQYR2KTCRC1NwHRzjmVz8" xr:uid="{723EC398-0E09-4D38-A742-C27855B324CF}"/>
    <hyperlink ref="B126" r:id="rId93" display="https://link.mail.beehiiv.com/ss/c/AFHHY18NT0_ddKuYrElMRjbJA4UrIzetoPRYnEVe-exHRKFCwaxzSyd7EpQiK8tmmfXA_R7_9nCssC_a0_uCHYJHALO0FLthUw-ocDPBhqQlpesEedaUsxIgK-LhKDyt0LPD-MMx-ySuDsamu_weSNdnwkf4j9BPNPwuJMruyD72AnvJlZpNt6URvHAikKREmM70UfH9-glGSuzrRC1Rs_w6-at3JLuJ1qDCl101tI4/42p/JkpIHFtGTxqXEK5AwNbd_Q/h19/Miqv4damPHKW_lSUdu_rQcfxRkcrp0EsdnmqyI5YavE" xr:uid="{453E267A-FAE1-4280-915D-3E87F5CD39C8}"/>
    <hyperlink ref="B315" r:id="rId94" xr:uid="{D1F240FD-71FF-48C6-9F44-701DCE4EC9C5}"/>
    <hyperlink ref="B392" r:id="rId95" display="https://link.mail.beehiiv.com/ss/c/AFHHY18NT0_ddKuYrElMRoj953jP9c1wjfhbwZUuF62ZQKLQCUGpoG1p-MoNVdA3bpvngVwKDkdq265m-7CgZnlrXqov4fGoWL93rriOK77Qf8yDcixD72ZT9P6DtnpYIWQjz84Yi1f5aJxNsEJqhjkhX3ZtNYutywDqNOU7rCWE1emd3FLar4F8IF6UMh0dkRqr1FpgXP_m3sqeZGX64IVh5DvJdrW7cfadsrf8YMQ/42p/JkpIHFtGTxqXEK5AwNbd_Q/h17/so_o6RorAxrBA3JPCwrfZtj40yVhsYC05ORu4rRXoyI" xr:uid="{D0FCDF23-8378-4956-BAB3-A2591F6D5B50}"/>
    <hyperlink ref="B299" r:id="rId96" display="https://link.mail.beehiiv.com/ss/c/AFHHY18NT0_ddKuYrElMRvo371E-uZ-jYeFxXpF5MvJhGyX2FFdab5wdGmS3AcYDn2vL5gEhvbXBpvoCR1Xd-MY4wx1p8PWOMHWTMUdApqy3K6WNPc6POdwZWPj7_xdQyKL2kFbX_BuNzJjcrzJmu4hR_njfCNzFV0bkWdxNV5-zKsHNB6LoSp89B_VGLevQacL810Jg2IFiiVnWuLjKXgzrPtdPRKpDZWto_jAUZmU/42p/JkpIHFtGTxqXEK5AwNbd_Q/h16/P9eXB7Wq233I24WXkcBga8kUIz7V8hDnCQxzSw5c4ME" xr:uid="{C2BFD3B6-24AF-4603-A396-3C63501D708F}"/>
    <hyperlink ref="B225" r:id="rId97" display="https://link.mail.beehiiv.com/ss/c/POWe797IScGqQ9xtiHvVyEafUBv3GxH3rnKKVYnIjGOqK2bPqdgdx9R6BGMyJt7HbHp1kYbtEwVPRayO_Xx72iEEnBqKC_OIhxnLEEEaRMc4H1I_lJORHznFKNKuDbXmpJW8qPAweMG_RtRHqeWd63YQW4QyQkHIotiDJvDtBNTbmbHVFR-N01lkepE1fIpve0rEQ2wiAD1gFoK5MnQGxShh_0SD7OMkhdhquMLpaIs/42p/JkpIHFtGTxqXEK5AwNbd_Q/h15/KnaNQQ8HRSsu_AgTq3NJnJ86D6C3A_xevRmFONvx8_Y" xr:uid="{B7E53091-B39D-4F8F-8C06-E100C061E2F4}"/>
    <hyperlink ref="B313" r:id="rId98" display="https://link.mail.beehiiv.com/ss/c/jMFTGBN48XY1wUMNWd3dQAQq9Bf1WZhBol7CKcCgBKEpSW9hbiZX96kPsFOqPqfMLLTixOqepR2BWQz_kBVhospBw6UShPuT4mFCIYj3PZWOTIK6v8NmAjzN-lKGnN4M_0nY6bw2VdjcD0uL5gnx_M9Edz1DBGr4doQ0WYfHJtLJk6REOAvkY78swsysynPS/42q/5ebzjuGYTpeLqWW_4G4DIQ/h13/c-4Z_1B-xXSRHkzFvTyXU8c7z9q6GvfHah6mW8KR2Nk" xr:uid="{13E4DB79-313F-4939-B87C-D43BE7BAA01F}"/>
    <hyperlink ref="B148" r:id="rId99" display="https://link.mail.beehiiv.com/ss/c/AFHHY18NT0_ddKuYrElMRkVkaWK8kop9IhHkFiZuKAHlZjuWcR3H-xnnRNBkX8Hzpk-SVj6uZUR2c8UvdcOaP6_1WT8I4MLzy-eo3Ij-Qg6q9FIQihBlhfCdpQdAzcs1Jvfbuh9t2pNDsq_9JLNdP-CHHD1I1f-woD1FgC3Phn3dBa21vJxGaXGNHdgnFVCo/42q/5ebzjuGYTpeLqWW_4G4DIQ/h12/IktG-IQwnYDDK-3suR47D4Vn7rd9i62WnJHtqGTEsZI" xr:uid="{691A51DA-3966-4E12-A41B-2EEF0D90ECC2}"/>
    <hyperlink ref="B76" r:id="rId100" display="https://link.mail.beehiiv.com/ss/c/AFHHY18NT0_ddKuYrElMRquJXD5Yrkp6oyQ6yDVP8Nb5-sFGdLaElnBjznwl1sDf_zHZS_B5sIRbIgzmQ2kxVRhgAEp7VZkF6KRGKKKkLOVjQrLC0uxmwKzsgQ2PWd7P53ef9TRqzCq-2q5VppbRIEaxyUkmzgbaLUkoo5TSb9e6el7zJhJ9s2VprlqkMAHx/42q/5ebzjuGYTpeLqWW_4G4DIQ/h11/GJLRNHq1PN5b4IZ2mPMDW9-3VlKsEm28GYiiTlleNrc" xr:uid="{374D2DC1-A90D-464D-B7D3-C503B4B94AF6}"/>
    <hyperlink ref="B203" r:id="rId101" display="https://link.mail.beehiiv.com/ss/c/AFHHY18NT0_ddKuYrElMRljWzugkc4Mru0GahDYjlHMgX_say1nI_ofnjPycybljbZP9HNZy-mP281juFfFJD0Jynk7cEg0HlyLtaxR0na9yh-Gi14Z_4Ck-EqgvkqwcYInZbm_UGe0ZFufoak0dMrufnkXeoUAjgK9UsO0LtrLZEiPDVn_zJ_r8UmpwvNis/42q/5ebzjuGYTpeLqWW_4G4DIQ/h10/G6uPneSQQSnzJp7Blez_-SwsVN61uxNF7yMBTpaoLJg" xr:uid="{BB647F9B-7F41-4E11-A0E5-2E9E9934BAFB}"/>
    <hyperlink ref="B358" r:id="rId102" display="https://link.mail.beehiiv.com/ss/c/z0X5DY489zjmVLlFQopoHSK8BpMreXDqmrQEkYNeP0QCTh5dSy-AVN5mdIe7LEgisBITB0o7DlTlSb8cqFGEEkpen5BnnJR5hUISwvp0b3vhKPTiI5XY9PnJwVGWTDWQcmXR80fkMCKh1x83P6RHuyEcndTm_3JYWJYWCgFpo1k/42q/5ebzjuGYTpeLqWW_4G4DIQ/h9/VikmTc4CTO4Wi-W1QcoYd6aPkXBe6OWTdQS3bVsFTS0" xr:uid="{C02B0F1B-C7AD-493C-95FD-7E622C94D222}"/>
    <hyperlink ref="B357" r:id="rId103" display="https://link.mail.beehiiv.com/ss/c/8Y-VoJkoDnX1zI1WLAgXFxz4Gr2Vaw0EpenY7pzFSEjWv0MvwlTQn5tq1DN1R8x9Yv7KBga4byCTi_QQ583SoG3CVMW5DL9T9_XzRLgzsyDtYNM24opocZMxQYgTQAPnWNtnUGirkBjBuQ23DzCWTPzKHaqfKf90zBC4SlehB7Q/42t/BW-dfpFeS66B4-Va138g3w/h15/GWosPWVLrsOoytIXLPd_zjnezqF47rK68-zWNbth6dA" xr:uid="{5060DF0D-51D1-409D-8F26-D137DD7DA913}"/>
    <hyperlink ref="B290" r:id="rId104" display="https://link.mail.beehiiv.com/ss/c/i142ipyW89EI2-TL2DD4FITDBMNRoYFfxy52DHo9f65xGlOPGTY4fPoc8LgKtPCkmEHlkXEefq72xf2Fo0RrSid3rvGJXVGCarGcIrssu8zQSWUvrV4OIpvz7kIPEoICABv1DvifrS-UqFFn6aKsccdb3ryMOIBoaKOHdb7WfXs/42t/BW-dfpFeS66B4-Va138g3w/h14/7jGjTWV_z7LIRUaMRquC6ukJNahVSukeGgNvB7N6qCs" xr:uid="{7B1D0E8A-C7C8-49D3-9F24-343C77EB9259}"/>
    <hyperlink ref="B266" r:id="rId105" display="https://link.mail.beehiiv.com/ss/c/AFHHY18NT0_ddKuYrElMRnQJW-EKcCEz4ymb5fMZgFSv-UER-jzP99DkHKFZQBMPMjBgEu66r5Yeec0lG14jbuiAFL3ZLiHdfQCVUS5BI-3Ym6aJrCIUigleMknUvz3X_wyd9xcqJ38FePUNZ6LFqmHSDl-peigzfML7u1QGBDA5kYsjVnOYlp1pgvyhnBwT/42t/BW-dfpFeS66B4-Va138g3w/h11/QkX56i5QEJTHp1UGiVpfKNJpdF-oVnyRooLoJPPBnYA" xr:uid="{59EAA8BD-D085-4668-9E7E-0046C64868CF}"/>
    <hyperlink ref="B293" r:id="rId106" display="https://link.mail.beehiiv.com/ss/c/UuCNtwnEAMcjpu9jaML3rFj1HHxgG_k45J4VWQwTjIvlgarH9bFsDGq6rFse4sqCGDCsV922A-iDRwrSyPC4Tx0l8kKb2fufDKuprxlAu8YQcBn1zM6PeTtc7zCAqXSp-GyiUvyf6nRQ8R6c1qAO-gNXhFQ3YlQoN8AQB2xralA/42t/BW-dfpFeS66B4-Va138g3w/h10/FwA2S5isSvjUOA9gWYnfpW343muj1_WflWbYKKlwTws" xr:uid="{F5B57509-9EC1-45B5-930C-5CE190E10A2E}"/>
    <hyperlink ref="B24" r:id="rId107" display="https://link.mail.beehiiv.com/ss/c/jMFTGBN48XY1wUMNWd3dQIGvCnEwv95HnQRQghQ1MTvRjL5rlztNB7JJeFRmfbNBkr8Z6srldKAg8cR7L3xypZL_g2ktaI1wP9RAzQpF0kgYtVBVSnJWnAno3wfn2OKKdWrT-Y825xFPz6bl2k4ISYgHx8XRV_dxCtmh9r-KSWXO7Z49ua1ppmn0vt4mWak2/42u/7ijIU-6iRHWmiXPyYZP5TQ/h15/j_mK7tHeP2cv2L7Nl2JiGhOi9r70a6UKMrkB7XpYjmQ" xr:uid="{EA52337F-6D91-48F9-BEFE-81ECB910A007}"/>
    <hyperlink ref="B434" r:id="rId108" xr:uid="{D92F1A93-AB27-4E7D-98A1-E88763FDD928}"/>
    <hyperlink ref="B435" r:id="rId109" display="https://link.mail.beehiiv.com/ss/c/yAczCiX-iyAkwj0X9QHq0ti3LdauHeIgPzEUuaBesBTkJif3VL1_ZQs3wUZSEzhmjSIoJ0wDwfhdNOS4NAIh1Z9gB8xdBLqBddQZUvXpjc_F8jC-vc777x0zH9Q5DD1Hz8pcQ2t3bxh8ndiRCkpJdpmWdw7OkfucwpoURpr0lVR_OiD8lh76lnIS-IGlqiin/42u/7ijIU-6iRHWmiXPyYZP5TQ/h11/00u84K7-a08kKLfyeaep5i0obwtSie4ATPjvdsDWEkQ" xr:uid="{9D11E386-2CF0-4A8D-87A5-69018750BDF7}"/>
    <hyperlink ref="B242" r:id="rId110" display="https://link.mail.beehiiv.com/ss/c/oPK9TvOEo1ZeXdOJwVOhadJZ6-Ayj_6uEwA9O2VUieUL-ICKR8RnZcPsmXUhYRISxCGkMpSieDLrG8zstWkQGblUfHaPYCT6z0a5TRxl893aJY6wuEBfsVROzWS9hielorJBcYVI7BrNyH430XJJ5Rqch-5DLf7SJN6tK3JiA7v8t7_QRK7E_llLDJ_JsMsW/42u/7ijIU-6iRHWmiXPyYZP5TQ/h10/jxvUTZqT10kSeSW8nrPIdCtsV3CFgadAa8XMX2hK0O8" xr:uid="{CF599A54-2702-4A95-B690-C900DC55B66C}"/>
    <hyperlink ref="B112" r:id="rId111" display="https://link.mail.beehiiv.com/ss/c/POWe797IScGqQ9xtiHvVyO585NiYxbfLA9m-qVN9be4pfvn2Kur3Ix7bPAdM8ZwsYDZLZDSFCM1qVEjg_FQnBk9QXGViFNDLz0i7TteehGdnr0Rj1iskBqn430JWYVwBWcchEvOvR0SYb4XDluUR8XGMTHYp3WAqqzyyjLjKLVoZSdR_-Ewr4py9JyNjGGBD/42v/nZXr1tPySXKmM7_zwAN6Jw/h18/5RkMX49n_fSWbQ5xHZN2oeSdqvxpX656QGbjP5OeWdw" xr:uid="{56853027-3803-4920-AC79-7AED87C602A3}"/>
    <hyperlink ref="B53" r:id="rId112" display="https://link.mail.beehiiv.com/ss/c/UuCNtwnEAMcjpu9jaML3rCvwUcb8aupWwaTBzGDnq--G78JEI1RNobltDazGjw0vasmTqx7iEch0GDc9RCRK6Q0wTLlp9ZfDvB3ODGYrrZy11nLu0mnaOy05U7ZSRmxS_jdyZUZkRhvUcmfiqNqnqLSPdasehpo0-aKF8KZFQns/42v/nZXr1tPySXKmM7_zwAN6Jw/h17/G3B1LH36jolDaNt56GeZzL_kae_mxzqkfb3O1QJWo4A" xr:uid="{FB015964-5FE7-44E8-97EB-85ED06852894}"/>
    <hyperlink ref="B121" r:id="rId113" display="https://link.mail.beehiiv.com/ss/c/AFHHY18NT0_ddKuYrElMRp641fUj79lVhFdcS3Xfvx_29I7AiWjnZ1vONIiA3fTLn-bv_oS9C8TX9lfMlr--0xZ9S7MEhXjGZA5yjLi1RfI7AiqiMp5cEtxFJHLc9B-aGBVaJWoljTV65yeV2U-n3yXiIkodcMtHk_IY1S0Ixs4/42v/nZXr1tPySXKmM7_zwAN6Jw/h14/kRmdJQzJiO8C50bOC9TI5JqH-tkrjk3SdastsLV89CA" xr:uid="{DC3DF3A5-3CB2-4B9A-8563-BE00168560CE}"/>
    <hyperlink ref="B98" r:id="rId114" display="https://link.mail.beehiiv.com/ss/c/i2IHzAzoiY266rd2UY2dVLRKY324naP6w6QGonCv2z9nATYrogLN863Y_wOUvtpU38sab4uo72H4Bbtvg-L1SKMoZpv8WFjAIHiluJhDI9vasEOm_UiOfDQLFMAkfcEupMjq4hebIw8pyrJ_sBtyb7a_YMMCr00t5ldX8vFTYkk/42v/nZXr1tPySXKmM7_zwAN6Jw/h13/eVpJKUMz-FJU7wgywtMs_PDUCSgx73j8MR0n8VvDGf8" xr:uid="{EF762CE9-2D0C-4863-9AA2-B582AF9B763B}"/>
    <hyperlink ref="B355" r:id="rId115" display="https://link.mail.beehiiv.com/ss/c/jMFTGBN48XY1wUMNWd3dQHW6lE2mFf0IzgKo8aO34tFZV_OpEv4oH6TQhs4dyd006iMYXEbKb5t_eyUDqXW93jUAZMO56MV8DRvJUgc5eGQEgK707MwVUcO9jnhF0UXAPcEY1_-m0GBMZAcB_raJuEQHLfBYM5rIH5B2WqLUOLU/42w/f1oAezbGRg-h6mWpOtN6Kg/h10/CfhaaIj2ieMeLJwTWCfZc0AsSf88tb_BPr-DQnnWuoM" xr:uid="{35417894-8515-41ED-BF3C-1BEA7080C819}"/>
    <hyperlink ref="B247" r:id="rId116" display="https://link.mail.beehiiv.com/ss/c/AFHHY18NT0_ddKuYrElMRk4-a43yISBaMrrlZgye0czdhJfRjqMO9_LrGiL7kjH0YiJWyhKF3v08EEuEqqxszNlHSq1IRQtSNtLqHT7gcm9eiN--QStFXw6ysPruhQ5jnb_TveEXvfB4d-AlcqlAtGi5rRJK__x7uzmm34TzZxQj291jHycvPmSWRpHSTRxY/42w/f1oAezbGRg-h6mWpOtN6Kg/h9/Lj9Qk_ySs6KFHi1Nq2U7ZCzPbz-CVIvf583WfDYiU_I" xr:uid="{853EDE60-5AF5-4F05-ADC1-B015F1F1B818}"/>
    <hyperlink ref="B167" r:id="rId117" display="https://link.mail.beehiiv.com/ss/c/AFHHY18NT0_ddKuYrElMRuvIhyuq6vkUltbdNjaYkxmTwoSPL60Ldw7Am9ssMAnbg9AZgzwxhaqq0bDsowxBi6_-M6oBefTgBPiGrCRBXfb5TMpUVVfd4YXLS8TH5TBTDkaHNiQCqOF9gCFuL-Nys9se3Wsd0CEzB5OT73bPAu4/42x/ugknEuMqS_-W8W1KV-PmbQ/h19/cy_J3pUiAmiYuzzCW5R_zoqlAKoiPkDoJ0q_uOvSKpw" xr:uid="{9B766E5A-799D-4DDF-97F8-5FD89D51F1C8}"/>
    <hyperlink ref="B440" r:id="rId118" display="https://link.mail.beehiiv.com/ss/c/AFHHY18NT0_ddKuYrElMRlWBdkTI9XhPRwD3DuhYlFD1nX30DIuyNxX0_uEwmkeq-fOgM_YwVNa2_vnvunR8nn_PbnLQxuqhzUjKNx1AHmb6CAC2dV_fEY6N15pCSFadjbqh8lBr-IUsvKMWvAvTBXRVKNI-kTzAe5jdMDUnfsU/42x/ugknEuMqS_-W8W1KV-PmbQ/h18/CH2AQeGrdvnCMK4AjobXa-NYD_N10l7IOZ1_2nt2_PQ" xr:uid="{EFD524D7-58AB-4781-A36B-FB110803549E}"/>
    <hyperlink ref="B249" r:id="rId119" display="https://link.mail.beehiiv.com/ss/c/AFHHY18NT0_ddKuYrElMRrUIsiuCHZ13uTl887Vz8bz5H7q-aYrOg374wdV37plbWygEDnhhpo-kdW5grRUWfa-m_xiQc-ZoxU6EwsUBdYRSpqAg6zbgl1iMHM9Wy76rGl1c759lhrpHgkEfzo2_-k8Xnzx00QOYSe3hkvaqF-mAslTSZxN9-T68KZ5s0Xt5/430/QYqyBXEUQLScFHRqIGvV6A/h16/TpUFxzg9vy_vmQJYnPJRnG854_Ssi0jxnzT9mSqmkE8" xr:uid="{46D966AA-AE83-4B20-9F6E-53BEF142A69E}"/>
    <hyperlink ref="B319" r:id="rId120" display="https://link.mail.beehiiv.com/ss/c/oPK9TvOEo1ZeXdOJwVOhaR6saoSHFpOB1gozs77ItUL8kKq_5LTCA1SJZ5fuG54Mt9L121voFcYJsH_jvWtt3l36V_yQiw3ZxEIGKYG888zBvp0AeDQvPmdp8tGkouGpl1KTi01GtERkZrVYcpMgDXBSf9IVr3NmITPo34C8We8AdzT8s29YXWAyy2KyJvnb/430/QYqyBXEUQLScFHRqIGvV6A/h15/xk-lqHJv9Cg6k1Uhw0QRZDfx9nfiRI3LctxrdM_YEVQ" xr:uid="{B60ADE8A-5CC7-4C39-9513-405E73952B02}"/>
    <hyperlink ref="B403" r:id="rId121" display="https://link.mail.beehiiv.com/ss/c/i142ipyW89EI2-TL2DD4FCmQI5N0zU5Ck4au3PAkucnbg7PuHp7zo9_KWWRRyYNH98-IK7_y1klWPbikgIa-5AvrQRiQQnfFcjxQb4RVnYKy6MJaXaYEF_m5carxhaE7sSuyr8BPDjZzCur7LRtjbio7KrI2Yju1QJQToHrvUZrGbYeS7PNPzHcIW8NFCHKp/430/QYqyBXEUQLScFHRqIGvV6A/h12/q3SIgtNZ0owOU6F-Q_JDzbMkvTf7AQBRuklkBLO2LRo" xr:uid="{959F8D6A-E25A-4E93-8D5E-5929594BA0F7}"/>
    <hyperlink ref="B456" r:id="rId122" display="https://link.mail.beehiiv.com/ss/c/-72w8iesgkP33vyeWj1Mx1PMDtLo2mPZpfPdCkIzcMLFzMqaKpJdKX1Jr_CejCIbe5KXI7xwSdo1MkqLIskeiTfE-Zxm1gLpUFna5VGjyCW1U9eqWecXDm6a1PiZqZ1AKiugTjhR7k3pQbaQrYQ-GXlizxNkL9xsX7pFZWIemJABDLjeyCuzHK62Zhmj-oHo/430/QYqyBXEUQLScFHRqIGvV6A/h11/Av8tlREodwVNYUfaznu16fKqBrfL4Jx0ZqXWaYuvLNM" xr:uid="{8377C495-DD50-4DC2-963B-964D9A339B4D}"/>
    <hyperlink ref="B320" r:id="rId123" xr:uid="{A5D24463-ECD4-474E-932A-1DA3E6EFA8B3}"/>
    <hyperlink ref="B464" r:id="rId124" xr:uid="{90267C1F-56F2-4FFD-BDAC-A4A0834999E5}"/>
    <hyperlink ref="B393" r:id="rId125" display="https://link.mail.beehiiv.com/ss/c/AFHHY18NT0_ddKuYrElMRoW2KOggb2m0Obgwk3LyheUesaHyqhP-TPuvb2arl2UB0y22lCfTHYeqlzYqi5FMLKUJCO0C2wHEfcIl71fVxHqY2HoEQC2iQiUjl1d2EtSgsvSovOeMTVGpUlEgVI0pecB4jfpcvbQJTNqT5Qj2NWju7n5Lblq9CI-B9hN2Q__C/432/uYDT4K0OT3-IxStQIaXqyA/h13/Hl9aSIeaavoWDHKB_htEJU2d0519Ke4D5WaT6BiCcyg" xr:uid="{A3E3191B-B766-4A5B-9B19-B0249F89EFE5}"/>
    <hyperlink ref="B356" r:id="rId126" display="https://link.mail.beehiiv.com/ss/c/AFHHY18NT0_ddKuYrElMRtVGLL4MtLojcsV1Uoc_SlNpTBo7HDdLAE_YPXpx0tVY-RP0bzGH_oqhqQrUXWrtxRhnE0b07_T9E28Mr3I6IKFPn4DeJNijeBSuwt8JaeFYsMziUL0f_SU82V9H5qD_N7DtwHpPkup2X-RBp5YfoGI/432/uYDT4K0OT3-IxStQIaXqyA/h11/hQP9PaIzEGn0tEnXtd6x5CbueappVRiVADsEEH6JKVE" xr:uid="{0A1604D1-1DFB-413B-8129-770BA26422E5}"/>
    <hyperlink ref="B51" r:id="rId127" display="https://link.mail.beehiiv.com/ss/c/i142ipyW89EI2-TL2DD4FKXU3k2KSbfTiEgQILRZop64RcImloRlXwCHCVq8nZpnqTxpq7DhcTRld-cITnoJRJJm66QWW99iq-xXeje0gqxHm8NPQvFhYm0ixapul2kqAM97NwQOYwPd8Im3SBZ7dYTv_NDeHpzFKRaxkMWPXWA/432/uYDT4K0OT3-IxStQIaXqyA/h9/tNEeQeV_T7DpYCHjecN2Sgfug_5JWNt0vmlKJexehyU" xr:uid="{FE29E1E0-A378-4572-808C-59D74074A28E}"/>
    <hyperlink ref="B455" r:id="rId128" display="https://link.mail.beehiiv.com/ss/c/AFHHY18NT0_ddKuYrElMRu8LnxRRd89gW_0tZvKYC7BAxAo0dcm3wSO1GPIWCxQFM1R37BIrXVkmoTm9xyj5qa2eLbsVUPcHSzWofgdn_i1ylMj-lGwgRUf-VeT25wyVO1LLKzfAkWQ9NPjfmeYC_ytgJxw1-CTgb7VFTRIi5xOS11H8OckRCpQNBgfcAzz6ZylWEz3BDBHHU8iLerGctA/433/7TY_PSLvRgWzYPJETFX2uA/h11/c4T6w1IrJkFd00bQK_Ndcxu71DFthJOQe3ofd6-JBj8" xr:uid="{5CBB991B-A79D-4344-877E-C6F1D363164F}"/>
    <hyperlink ref="B306" r:id="rId129" xr:uid="{6120976B-CD4A-437B-B3D7-A97F15077DC8}"/>
    <hyperlink ref="B230" r:id="rId130" display="https://link.mail.beehiiv.com/ss/c/8Y-VoJkoDnX1zI1WLAgXF23gl8RSlpnyvGbNai2qaL-UNd9QPSN8DpewMdYws5F3zMe2nc4pDCIdzSWShSfXAeggoNY6TkoJtb_t2IpksaS8jn1cqcd6nig7VBy1vd_B3LtNAX2jO4xJZkfm7UxUvOGkY28XvSKeASEXHxzhi4ob-T2aOm1ROLKnJn4FC_5zu7WrB5f_X6oi0HY1puLH5w/433/7TY_PSLvRgWzYPJETFX2uA/h6/9v6SGxZq_7mymIXeJish9dqcB6llNKXut2cIp3_nyec" xr:uid="{0B302BF8-40BF-4E03-AB9D-DC3859499774}"/>
    <hyperlink ref="B140" r:id="rId131" display="https://na01.safelinks.protection.outlook.com/?url=https%3A%2F%2Flink.mail.beehiiv.com%2Fss%2Fc%2FAFHHY18NT0_ddKuYrElMRkCfZdsSdKlC-w9f0RNAublDr1WQJK3vBtFx9YZHQucEOg91Mle8nyadJgImIoFz6Bx6aC1Tr_UvI1jcDrhX10vc4-KesO1Kf2ZkpURXiT4adCmZ__EVnVx6THFXb8V1Org4nZ0Cq_qcwKF4j-QmZFi0vui8ELbKqqEgKbIpyLdWu9HyaNW8edBig4xXeVQcOwEN_GO6Mq8XDvAO-yUs8bs%2F437%2F4vbfGtooTOG-XpTsrdoYDw%2Fh17%2F0oGAoGdKRZdO8YLNA5venZWmdU8QZWBr3ftruLybH94&amp;data=05%7C02%7C%7C86c4e1f9c72b4f721b0308dc1b6c231b%7C84df9e7fe9f640afb435aaaaaaaaaaaa%7C1%7C0%7C638415398499300788%7CUnknown%7CTWFpbGZsb3d8eyJWIjoiMC4wLjAwMDAiLCJQIjoiV2luMzIiLCJBTiI6Ik1haWwiLCJXVCI6Mn0%3D%7C3000%7C%7C%7C&amp;sdata=%2FmR4P6ptE5fv9RpQVaUcocqoqsMq3CQsPklyAxqPi3M%3D&amp;reserved=0" xr:uid="{6242C2B3-79AF-44CE-BAE4-9C6E98E06637}"/>
    <hyperlink ref="B426" r:id="rId132" xr:uid="{B42E72E5-2E30-4FB4-908E-C189FCB58864}"/>
    <hyperlink ref="B244" r:id="rId133" display="https://na01.safelinks.protection.outlook.com/?url=https%3A%2F%2Flink.mail.beehiiv.com%2Fss%2Fc%2FAFHHY18NT0_ddKuYrElMRrdujJlgWmkKYuhX1rKir5UPM7ihGJiZpSkVptoSsJrjFiR423GR9CtQiXcZBxdY6sxGZV2mgN1LOOrX-XY0zBr3Dk14rKrJQQB35HkpwCU_RJZ_RPcBAeU8SMWUdzJ0TP7ukdFoFnzq4J8A3tfzLC3hyzbwYQUB7rOCCWPVyv6iS4oQqvCFZOrl0C4_XC9kqQ0-wYUwJOjZJlKcLFJG2GE%2F438%2FZBlGr5r-QrKKyDaAJsM9-w%2Fh11%2F0Nmo1DCeHaC1JbFTjUrUMEAv9YBuprCtR9Vs_QvJotM&amp;data=05%7C02%7C%7C77deb5ee2ccf4c319ccd08dc1c35f0ad%7C84df9e7fe9f640afb435aaaaaaaaaaaa%7C1%7C0%7C638416265236739981%7CUnknown%7CTWFpbGZsb3d8eyJWIjoiMC4wLjAwMDAiLCJQIjoiV2luMzIiLCJBTiI6Ik1haWwiLCJXVCI6Mn0%3D%7C3000%7C%7C%7C&amp;sdata=KroEzFgQECyxzqX%2FGaG87%2BYrpuqXpX78bwNyTR2%2BKMQ%3D&amp;reserved=0" xr:uid="{F19DB681-7D32-4BAF-B974-8B38F163EC9B}"/>
    <hyperlink ref="B154" r:id="rId134" display="https://na01.safelinks.protection.outlook.com/?url=https%3A%2F%2Flink.mail.beehiiv.com%2Fss%2Fc%2F0wlcaBm-wAGbfh-p66fdvDKBIuY8CnjYepRcJ4H-MybK3EPU3JtB8qzCE1e5TCrZDXR0kOhc9VDSAs1yFr2e5HTbgX_RdINml3hY4gKoLY0X1tKVKk3X-CmRe2drdCQEI1_k2Gf8_UfUElSONKj-bXa7EBxbpr1CFecVjxWXTcoT90xC9lEktcF09BawBFOuqJ0NY9FfuN0IHdBPz6QcEyjL2mVHfTE6j-j2X-O5i0w%2F438%2FZBlGr5r-QrKKyDaAJsM9-w%2Fh7%2FExjkmsjVZO-r7Ed1AG5-P1IQ3xs9YkI-s_mw0RKBQ1w&amp;data=05%7C02%7C%7C77deb5ee2ccf4c319ccd08dc1c35f0ad%7C84df9e7fe9f640afb435aaaaaaaaaaaa%7C1%7C0%7C638416265236664230%7CUnknown%7CTWFpbGZsb3d8eyJWIjoiMC4wLjAwMDAiLCJQIjoiV2luMzIiLCJBTiI6Ik1haWwiLCJXVCI6Mn0%3D%7C3000%7C%7C%7C&amp;sdata=jyswEsUbdhf0b8fgvUcmtdPx%2BQ6lwYEKNzMTDuhNPUk%3D&amp;reserved=0" xr:uid="{F7FD748A-5DF7-4433-93A2-68EB8082D35E}"/>
    <hyperlink ref="B282" r:id="rId135" display="https://na01.safelinks.protection.outlook.com/?url=https%3A%2F%2Flink.mail.beehiiv.com%2Fss%2Fc%2FAFHHY18NT0_ddKuYrElMRrox_2iSPZPcSBD35rhAskh4L91CnyPUG6MWJ1wcfsv242t0KzACrpCXDzyYhq2omUuQim8HceicljYOD2ti1aIPx-AtTmAEcew_crJKswx99ATCeR4GCgGakpNd30M5FH1aTR7Pgdz3DWWF15CfYPCFl25dOLbf07TO9BC6O1XKaOkB1pOFhD_IHrOayV-0UJGyYNZdxTMZjdc6XLYfQ_8%2F438%2FZBlGr5r-QrKKyDaAJsM9-w%2Fh6%2FZj-62_In0dsSw14YwWrZEUeLSakU0G83hc0GuS0vpW4&amp;data=05%7C02%7C%7C77deb5ee2ccf4c319ccd08dc1c35f0ad%7C84df9e7fe9f640afb435aaaaaaaaaaaa%7C1%7C0%7C638416265236649678%7CUnknown%7CTWFpbGZsb3d8eyJWIjoiMC4wLjAwMDAiLCJQIjoiV2luMzIiLCJBTiI6Ik1haWwiLCJXVCI6Mn0%3D%7C3000%7C%7C%7C&amp;sdata=nTV3ZIJOJQULYthfHpUKNQl4henppfDTcNgYGK9DShM%3D&amp;reserved=0" xr:uid="{E1D63EF5-F984-4102-8746-30614C67B246}"/>
    <hyperlink ref="B193" r:id="rId136" display="https://na01.safelinks.protection.outlook.com/?url=https%3A%2F%2Flink.mail.beehiiv.com%2Fss%2Fc%2FAFHHY18NT0_ddKuYrElMRuz4LEzPWBDT6TqVd_88Z__MN_qGLCe9spe5OgjnuyA9J6AGDT0vIcyr7LdIuD366Ga6mWxXVjcmWMrj5qW-AmSfCbqPLTO7FkXkX6kU7RqEiJ13RR4agJgt-67XJctbDKuaJXODBuvmqG1psMjtwYoMRNveU_on1_7Hijvq12p7%2F439%2F7NNvPY5YTHue3LuSHhrglA%2Fh10%2FHh5YYy1gYruyocZSKgRqY8fSqDEMTXd_VaIOS9LPyu4&amp;data=05%7C02%7C%7C52be88a3112842a8554d08dc1d004951%7C84df9e7fe9f640afb435aaaaaaaaaaaa%7C1%7C0%7C638417134291892935%7CUnknown%7CTWFpbGZsb3d8eyJWIjoiMC4wLjAwMDAiLCJQIjoiV2luMzIiLCJBTiI6Ik1haWwiLCJXVCI6Mn0%3D%7C3000%7C%7C%7C&amp;sdata=LaoPEJtGHMACbjlYNqmhEuztJiF3S3anifxqnvmWEFg%3D&amp;reserved=0" xr:uid="{C9268FBB-4371-4200-8BD2-4743A6366D29}"/>
    <hyperlink ref="B232" r:id="rId137" display="https://na01.safelinks.protection.outlook.com/?url=https%3A%2F%2Flink.mail.beehiiv.com%2Fss%2Fc%2FAFHHY18NT0_ddKuYrElMRsXjT-AQ0Yd_ANju3k8djJDiEdtvSvuydVP079QcyquQw68NfiZUmykYt8N2k7WFtl3DqUvGOt5OWBygaacfd3P1eHNayjy5s6C_SpS9PCXVDOIIjhkMmkMa076gYp4fuvF-3nJOqfZJYACzgHqGaF7h1bEv4ofXnTKPJ2ME3-VT%2F439%2F7NNvPY5YTHue3LuSHhrglA%2Fh8%2Fvrnejql9Kt-LPPGyA3_ljLne4fqm3zOJ_owHSzrR480&amp;data=05%7C02%7C%7C52be88a3112842a8554d08dc1d004951%7C84df9e7fe9f640afb435aaaaaaaaaaaa%7C1%7C0%7C638417134291867849%7CUnknown%7CTWFpbGZsb3d8eyJWIjoiMC4wLjAwMDAiLCJQIjoiV2luMzIiLCJBTiI6Ik1haWwiLCJXVCI6Mn0%3D%7C3000%7C%7C%7C&amp;sdata=B8Y8dyYPWVxrqZwCIVX4uDAie64JTq8rJ8nfUcXFQbs%3D&amp;reserved=0" xr:uid="{6E23BDD1-CDB5-44DC-AB8A-AD88D47A97C3}"/>
    <hyperlink ref="B354" r:id="rId138" display="https://na01.safelinks.protection.outlook.com/?url=https%3A%2F%2Flink.mail.beehiiv.com%2Fss%2Fc%2Fz0X5DY489zjmVLlFQopoHe88qq3U0oDsIB3enXZ2kbFEDWTWrVsCgD9cWP_yUV4akBkNwTRsGK8bsrYW6jqaZmQrh5kfuvgLcOUOMpBqk8UPDZXQPVyjEetpYGicNUajb7YAULf60GQDpgKUIz2pHesc-uGtVacNCBNWDjGE52o%2F439%2F7NNvPY5YTHue3LuSHhrglA%2Fh7%2FI7tXa7Dc1S5XaL1gKqkft5JTDATj8B8wUESWeuHtpzY&amp;data=05%7C02%7C%7C52be88a3112842a8554d08dc1d004951%7C84df9e7fe9f640afb435aaaaaaaaaaaa%7C1%7C0%7C638417134291853874%7CUnknown%7CTWFpbGZsb3d8eyJWIjoiMC4wLjAwMDAiLCJQIjoiV2luMzIiLCJBTiI6Ik1haWwiLCJXVCI6Mn0%3D%7C3000%7C%7C%7C&amp;sdata=BR5Fn1WBmVG7YpTUP0A33dLUlplNPM2k4dUaxoAfBEI%3D&amp;reserved=0" xr:uid="{5EDB46E0-9CD8-4AD1-8AA2-B8E3F74B79B5}"/>
    <hyperlink ref="B256" r:id="rId139" display="https://na01.safelinks.protection.outlook.com/?url=https%3A%2F%2Flink.mail.beehiiv.com%2Fss%2Fc%2FjMFTGBN48XY1wUMNWd3dQP-aOTYs0o6Qj_Zubv4ywCZ_ky9kpLIWpxajLxZzrb3c60M2pgYkhUqMomoJy83Q8KrlBcIZmf5wChThms0zT6Ox9DJzwZZkX774i_9DRjxMLc9NVHsh_AxQN-pDxl1-AA0AvAbuBtDkjS5kQkYR8bfsx6rjCZtDNmMi-kgc4BM9xGHABfD52PVevJvI9D9ItgZh57iCAA8KeldpXE8Xlk0%2F43a%2FSBfqDQ9KRHyV3CrIWyfZYw%2Fh13%2FcT3tja5ymvau4l9mTkJnGXMANBCxseX_Gt4f1rwoqN4&amp;data=05%7C02%7C%7C8d8691662dc44d4fd3db08dc1dc8630d%7C84df9e7fe9f640afb435aaaaaaaaaaaa%7C1%7C0%7C638417993786678879%7CUnknown%7CTWFpbGZsb3d8eyJWIjoiMC4wLjAwMDAiLCJQIjoiV2luMzIiLCJBTiI6Ik1haWwiLCJXVCI6Mn0%3D%7C3000%7C%7C%7C&amp;sdata=KkBhtdQWTSHJesIhiKy8z%2BfnU34as4AYPl81phUTCH4%3D&amp;reserved=0" xr:uid="{CCF98C3F-F07D-4CAB-A40F-883A1DD4246A}"/>
    <hyperlink ref="B79" r:id="rId140" display="https://na01.safelinks.protection.outlook.com/?url=https%3A%2F%2Flink.mail.beehiiv.com%2Fss%2Fc%2FAFHHY18NT0_ddKuYrElMRrjNzEPLHvUR8JKxpMh2OOQSN7wFcVq1g-N_RRPHVXQO8LVoQTfIuZmpgG1ihl5RBVGrdTb5Y3SnXf_g-2CUFz0wqleU-__gpc3HbirZPaxVcInKi3qKi5X7C2fx2YIHZ9uwQk5tYVVGMYAProJIQd_qpqSkWqNRXtyDXYdTrMi9N-GHf4NSVEga_YK9V5ptBs3qkUVgLbkRqBWvBF0Klxw%2F43a%2FSBfqDQ9KRHyV3CrIWyfZYw%2Fh10%2Frjh0K6C4yPS7vM92wCT7jLf9MAwqKyZfVFYr-LejKnA&amp;data=05%7C02%7C%7C8d8691662dc44d4fd3db08dc1dc8630d%7C84df9e7fe9f640afb435aaaaaaaaaaaa%7C1%7C0%7C638417993786635762%7CUnknown%7CTWFpbGZsb3d8eyJWIjoiMC4wLjAwMDAiLCJQIjoiV2luMzIiLCJBTiI6Ik1haWwiLCJXVCI6Mn0%3D%7C3000%7C%7C%7C&amp;sdata=uI%2FVQi%2B4IA4QWok3C94a1CnanoMz2iwF8cxeRZnol3I%3D&amp;reserved=0" xr:uid="{CFF582EF-41AC-44DC-A672-EACE066BDB05}"/>
    <hyperlink ref="B215" r:id="rId141" xr:uid="{E857EDF2-1315-4B7A-AD27-23F75509415E}"/>
    <hyperlink ref="B442" r:id="rId142" display="https://na01.safelinks.protection.outlook.com/?url=https%3A%2F%2Flink.mail.beehiiv.com%2Fss%2Fc%2FAFHHY18NT0_ddKuYrElMRtYmlG9MpYfViVkvPghxwQXRVSXA0QX5uBzSuQOPqSSOzFUAqc4w2z2bDHez1G34pUsU4WHgw_xij8P60JQibbVmgHiye10WGhR3J7EqfMO2f2AANhf_McqlFKB5Tr-ECgSBw4sP580vF94u_nB0inz_Ltl1ih00DdNOqyGSU7Dr%2F43b%2Fg-mITXHHSLuvA4Zs9JyXYQ%2Fh11%2FODVGz3KvTeXI4xLGBRpwcneFjIB_kB9LdW5La6y_efY&amp;data=05%7C02%7C%7C45409b8562984e3a1b0308dc1e918710%7C84df9e7fe9f640afb435aaaaaaaaaaaa%7C1%7C0%7C638418857628349429%7CUnknown%7CTWFpbGZsb3d8eyJWIjoiMC4wLjAwMDAiLCJQIjoiV2luMzIiLCJBTiI6Ik1haWwiLCJXVCI6Mn0%3D%7C3000%7C%7C%7C&amp;sdata=cd7IhhQuw7AtKrWuBkDPyu1VqNvC%2FRsYxY3tp1e6%2B0U%3D&amp;reserved=0" xr:uid="{6D46FA56-CF54-4550-9DF7-448DCE03E4B5}"/>
    <hyperlink ref="B280" r:id="rId143" display="https://na01.safelinks.protection.outlook.com/?url=https%3A%2F%2Flink.mail.beehiiv.com%2Fss%2Fc%2FYHTaa2XonDw2f6U1lKEHzWL0OSUA5RTRpTgL6uDEMDIeZ-XXrsCw7NGQRuQcOHptY1J03V6qD_bB2QP7XZJ2WHTB_ieAjWfOvJLEYvIZJ_ZPoipBk3HFBj2lgqw4NY9VcZq53gtNVdITfh8oVsqc2rw_cvE7ZRVLxHk9ia6f5hCmWDrescMVvzRxzcrEiXBj%2F43b%2Fg-mITXHHSLuvA4Zs9JyXYQ%2Fh7%2F5ub0IZ3TER-knayTdeYbwDqBngnYba74ETtz91J1jWI&amp;data=05%7C02%7C%7C45409b8562984e3a1b0308dc1e918710%7C84df9e7fe9f640afb435aaaaaaaaaaaa%7C1%7C0%7C638418857628316260%7CUnknown%7CTWFpbGZsb3d8eyJWIjoiMC4wLjAwMDAiLCJQIjoiV2luMzIiLCJBTiI6Ik1haWwiLCJXVCI6Mn0%3D%7C3000%7C%7C%7C&amp;sdata=jOQEBW6mQvk9AE8kRbDD99MZZE8hOPohUbc%2B5FkKGIA%3D&amp;reserved=0" xr:uid="{D007A4F6-3EC9-4E2A-B861-915DC3757418}"/>
    <hyperlink ref="B200" r:id="rId144" display="https://na01.safelinks.protection.outlook.com/?url=https%3A%2F%2Flink.mail.beehiiv.com%2Fss%2Fc%2Fi2IHzAzoiY266rd2UY2dVFT5qcr5j_up73f0_J6jTHhVDfG-AscqPv1cmINzAdfZjgepnCkzVo0X7pXBNsuyyLrF0efp8eJhDUZ3eyzYLyl6sdo4x5k0uUResCfpsnxcTr-pxM0zC1P8k3JWthnGds3JEYuMgKnWlK4IduW-UQyvbxXWJUCM_dXVHP4gZxxi%2F43e%2FQIfQDPINSjmv2FtXeaijkg%2Fh8%2FVytmy9A9H7P92tQCOrndMgtiH5juXtagaHrN543TkaU&amp;data=05%7C02%7C%7Cbf82f73ec0fd4de2a8ad08dc20f45de3%7C84df9e7fe9f640afb435aaaaaaaaaaaa%7C1%7C0%7C638421481151386798%7CUnknown%7CTWFpbGZsb3d8eyJWIjoiMC4wLjAwMDAiLCJQIjoiV2luMzIiLCJBTiI6Ik1haWwiLCJXVCI6Mn0%3D%7C0%7C%7C%7C&amp;sdata=blSguwHnHrLx9mbpQSuA9m24WnUMAIc42u6X1p7d0PI%3D&amp;reserved=0" xr:uid="{53839DD7-873D-48DF-B5CB-16D26835876D}"/>
    <hyperlink ref="B233" r:id="rId145" display="https://na01.safelinks.protection.outlook.com/?url=https%3A%2F%2Flink.mail.beehiiv.com%2Fss%2Fc%2Fi2IHzAzoiY266rd2UY2dVLbeFUTZ8GeohqMqOOg-j-mXLOTFWiraJ_JpiUoHF-DN1hKjb6UNpeqUtwI_qtWDQPCiuxSUW3Y31gCByoblQjsqE14JX6T5NVHNOarJCpzBpQgJFOcC3ClMItuBDbMqyY3mc5FiGqgdiJPEhn3sXE3vQT-jcC8RWnEW7aaGxEuf%2F43e%2FQIfQDPINSjmv2FtXeaijkg%2Fh7%2FuwpZczONBtzCuLHWLy04muQ3dULiZagnXjtBwwMhrf0&amp;data=05%7C02%7C%7Cbf82f73ec0fd4de2a8ad08dc20f45de3%7C84df9e7fe9f640afb435aaaaaaaaaaaa%7C1%7C0%7C638421481151376378%7CUnknown%7CTWFpbGZsb3d8eyJWIjoiMC4wLjAwMDAiLCJQIjoiV2luMzIiLCJBTiI6Ik1haWwiLCJXVCI6Mn0%3D%7C0%7C%7C%7C&amp;sdata=yL2%2FbNYn5L8T5dB5RODr88YLe9Gq%2Ft40VgT21rD7%2BgA%3D&amp;reserved=0" xr:uid="{08449C9C-8964-4B4C-8291-2D15E61DBC0D}"/>
    <hyperlink ref="B288" r:id="rId146" display="https://na01.safelinks.protection.outlook.com/?url=https%3A%2F%2Flink.mail.beehiiv.com%2Fss%2Fc%2FAFHHY18NT0_ddKuYrElMRsU-tK7fETgKQRYEDyoqAcytCzePvLUAU7g67bM0ZmWv-zx7_xvycbfxF3da9du0CaZKFNW2zzuW3z5kEqgjubdtokyDso6xkGep1Wj9Aa_DcfloPnZGoUDUApGa33dlwWzkz2xVLkl9eaAiYiZAcAcF3aHCLB2SI700Op2n288KtwWV5zRQGu9XBOzTNuE4Tzo3277d1SswFeAeYyF1eeQ%2F43e%2FQIfQDPINSjmv2FtXeaijkg%2Fh6%2FWEVB4VsSynKi5YRqiJ2SZqG6wFWY_AYqXMRKoytMSdU&amp;data=05%7C02%7C%7Cbf82f73ec0fd4de2a8ad08dc20f45de3%7C84df9e7fe9f640afb435aaaaaaaaaaaa%7C1%7C0%7C638421481151368479%7CUnknown%7CTWFpbGZsb3d8eyJWIjoiMC4wLjAwMDAiLCJQIjoiV2luMzIiLCJBTiI6Ik1haWwiLCJXVCI6Mn0%3D%7C0%7C%7C%7C&amp;sdata=KdyXgCc1YJEg6e%2FxHdWUEgOEEQ3LMBv%2FRaKr2kXzuBY%3D&amp;reserved=0" xr:uid="{C86D26E2-E9AF-4CB4-9750-DD4B82C0D040}"/>
    <hyperlink ref="B192" r:id="rId147" display="https://na01.safelinks.protection.outlook.com/?url=https%3A%2F%2Flink.mail.beehiiv.com%2Fss%2Fc%2FAFHHY18NT0_ddKuYrElMRvA7BAVybg5AyhykgzBaQc4SUh7V4wLHT7aecyyLzSnlYUMTtqt6GF2Qbn6FatC2gPbkfcJZvBKMvbw8DdHXRQdoRoMV31vzl-_uPWLrhYyG8Js1LuJ9f51FF_XfUUkPTUaJxOWbCplvM4X_NeJJlQkTEERUfoJd9bC-vaihXvNCIl8KWZF-g7qbrDw2D-QaYYeT98VQDF9Q0hXiWoWF3yU%2F43f%2F0r2Q4BaqRmmQYVN_S21GIA%2Fh11%2FVxbZr1jpFcIWe7xpCeGSgUM1moQct8Eoc_4HLENbwH0&amp;data=05%7C02%7C%7C6d9e3a4340a14913bf8108dc21c991b9%7C84df9e7fe9f640afb435aaaaaaaaaaaa%7C1%7C0%7C638422396844158923%7CUnknown%7CTWFpbGZsb3d8eyJWIjoiMC4wLjAwMDAiLCJQIjoiV2luMzIiLCJBTiI6Ik1haWwiLCJXVCI6Mn0%3D%7C0%7C%7C%7C&amp;sdata=NuoPqb%2FmiW66VVusToyWMJE3jGxmOwN5GXrvN5cTLOM%3D&amp;reserved=0" xr:uid="{D3328E18-CAE8-4961-9C1A-FD5B2862B292}"/>
    <hyperlink ref="B9" r:id="rId148" xr:uid="{8F510AD8-A856-41A0-80E0-C0FC09570B86}"/>
    <hyperlink ref="B283" r:id="rId149" display="https://na01.safelinks.protection.outlook.com/?url=https%3A%2F%2Flink.mail.beehiiv.com%2Fss%2Fc%2FAFHHY18NT0_ddKuYrElMRjx7X7PQfg8tdv6BwGfB2nMQsADE-O1-vuFK7wO-s4WOM-ZuYsWRgkPdHTuVQFEzGvxs8iTQMJRvDfPDfCiqpbFc9LdE-hy1HcOwLDTd_HRH-6b0gXA6Kd-u0tQEVLEx4QuA5x0OsfnjKxET6WFaiBUJBLcMC6xz4VRNP1SXv0KvEUqsPC4XqgGIo5l4R55U4qWjoqggY6NXFV4D1-9oeew%2F43f%2F0r2Q4BaqRmmQYVN_S21GIA%2Fh9%2FiWQpa6I08Wl0fmEWV-qtNyLx2X43CNIAFtW7CYQbuwM&amp;data=05%7C02%7C%7C6d9e3a4340a14913bf8108dc21c991b9%7C84df9e7fe9f640afb435aaaaaaaaaaaa%7C1%7C0%7C638422396844138731%7CUnknown%7CTWFpbGZsb3d8eyJWIjoiMC4wLjAwMDAiLCJQIjoiV2luMzIiLCJBTiI6Ik1haWwiLCJXVCI6Mn0%3D%7C0%7C%7C%7C&amp;sdata=NLD7bKdZHbCRNM1NhAPfxDV4GhhUGIfC52QEqo00YdU%3D&amp;reserved=0" xr:uid="{DEE9CA02-1B3B-40F3-953C-B523A40CE74B}"/>
    <hyperlink ref="B270" r:id="rId150" display="https://na01.safelinks.protection.outlook.com/?url=https%3A%2F%2Flink.mail.beehiiv.com%2Fss%2Fc%2FAFHHY18NT0_ddKuYrElMRp5h8A26uAFrBpq7x_FI0VXC4z0muHe1Cu_IagFNywvLJ0qbCqpRie2ttEwtvqvxNqOi9pRO0onnHJMvQDlFIw1mZdzIYStqBraANOCdzr06_5tl6WADL6xLf-B8PY0g24UcKuhtR4CoxGpHQG3VY4VlZIV7CHdnjmjcR7CZ8TzymwLbLlMBvVwFWJFd9XwJQady2JeWRnUDIA5JGLhWWTM%2F43f%2F0r2Q4BaqRmmQYVN_S21GIA%2Fh8%2FpQDB_GXZi9m26P6an8ylBmWY0Tf5PXgV2eblzRZxB4s&amp;data=05%7C02%7C%7C6d9e3a4340a14913bf8108dc21c991b9%7C84df9e7fe9f640afb435aaaaaaaaaaaa%7C1%7C0%7C638422396844128763%7CUnknown%7CTWFpbGZsb3d8eyJWIjoiMC4wLjAwMDAiLCJQIjoiV2luMzIiLCJBTiI6Ik1haWwiLCJXVCI6Mn0%3D%7C0%7C%7C%7C&amp;sdata=o8asvSUFqMmP9nYSK7%2FvIU3pxE0I4%2FGRa71tHK7CgjY%3D&amp;reserved=0" xr:uid="{5CF79343-BBD6-4ABB-83D7-4F211BCB6AE2}"/>
    <hyperlink ref="B423" r:id="rId151" display="https://na01.safelinks.protection.outlook.com/?url=https%3A%2F%2Flink.mail.beehiiv.com%2Fss%2Fc%2F8iXKAwwMM1W-cI7L7LOvGm86cAYCrhM4Em6VgOvqfCh9B9mK_JMcq109RTpMSu1J8bAmWcdCDGt8Q_Suhu5iUTT1dyu1XqjBQgP6zdY2BbPvmeOAl8D4BmPuX0sTevuzNQILrthXJOeZZRzrp46RpJwE9yOnzv0lSOQGP-iuphBQQvrq82fe8GZEVrj3tcMQwIL9ZO9ahmkhBKUBbc_tOg%2F43g%2FQcjk83mMQvO9rrwO7Q77Sg%2Fh8%2FRdmfGzIiEslUMYsqQxGREOJBXklCMlb2gVLoqS2o5lc&amp;data=05%7C02%7C%7C10d9f89712e243b44f0908dc2283399d%7C84df9e7fe9f640afb435aaaaaaaaaaaa%7C1%7C0%7C638423194224369764%7CUnknown%7CTWFpbGZsb3d8eyJWIjoiMC4wLjAwMDAiLCJQIjoiV2luMzIiLCJBTiI6Ik1haWwiLCJXVCI6Mn0%3D%7C0%7C%7C%7C&amp;sdata=NfUzaJdwGXaGb%2BZ7VWCUyM5tODVRwJPTprEuwBvq7aA%3D&amp;reserved=0" xr:uid="{A47E3BD0-EE41-4D47-ACC8-674D83E8AD3B}"/>
    <hyperlink ref="B322" r:id="rId152" xr:uid="{744382DC-54DD-4AA4-B860-DB6857A65B6C}"/>
    <hyperlink ref="B346" r:id="rId153" display="https://na01.safelinks.protection.outlook.com/?url=https%3A%2F%2Flink.mail.beehiiv.com%2Fss%2Fc%2FkTklpAxml3EW3RaiF8_gQpHGYbTDdrsdzDTusU2mfLfFQ7DU-i97HrGSG3OIK7UlY9HdP6CuZStIES_LnTLFq-3hyIK78LX9p_se9AflM11tYt4V2Z-dh-Xk_QtjjPHbNdZqxdhj5Ev4O54TIe5ljNTkTzHg88n7BbXCXXfxFcDb-aLiTDkcSYf1kbcaehkjeONSyzFOWz7EpMKZJI90-mxM0aaE0oGBI_OMR0gZt9PAxc7j6qJMSJ6Jm_GAbxrG%2F43h%2F7OxjGHLcTgywXbs0oXNXLQ%2Fh8%2FVJhI75ugCFC_RclJ7Zcx84QFlmjsh_QRq7KX1-d-t00&amp;data=05%7C02%7C%7C92b5a0b457a44f6603dd08dc23488154%7C84df9e7fe9f640afb435aaaaaaaaaaaa%7C1%7C0%7C638424041549939165%7CUnknown%7CTWFpbGZsb3d8eyJWIjoiMC4wLjAwMDAiLCJQIjoiV2luMzIiLCJBTiI6Ik1haWwiLCJXVCI6Mn0%3D%7C0%7C%7C%7C&amp;sdata=WJWt7lCpqnrTPfPJdOxrxwjGnQ0XP1IGbNP0qxKIiRM%3D&amp;reserved=0" xr:uid="{8EE1E647-B6CE-4F96-8A73-0D790FC0BA3C}"/>
    <hyperlink ref="B120" r:id="rId154" display="https://na01.safelinks.protection.outlook.com/?url=https%3A%2F%2Flink.mail.beehiiv.com%2Fss%2Fc%2FyAczCiX-iyAkwj0X9QHq0rRIoFogGyOiDxZc05J1JJDgOMvjAKl6W_hcpUM9ZWDL1GDFetsxEo9PRBAMJ_5tzWZxxeKX4rZ5BAHD5eRpLjJ2Ji25l-S8OMV3p2dRPEaZ3fVwUcAPmp-2McgFUTKTnbjnWjouzAe4_e3WjS_ZjBJSdvz7uL167rKH0pqn8_4wV9_aYJciApdItaOXI8UhNqU7glCZZ5RF-KImQmKfQLPcGgiFBbWzQNEKZ_mg7jdb%2F43h%2F7OxjGHLcTgywXbs0oXNXLQ%2Fh6%2FG3lOq3XPvzkgPOp8RDcvMRFo_hK1I6qnep6S8weU2QU&amp;data=05%7C02%7C%7C92b5a0b457a44f6603dd08dc23488154%7C84df9e7fe9f640afb435aaaaaaaaaaaa%7C1%7C0%7C638424041549909518%7CUnknown%7CTWFpbGZsb3d8eyJWIjoiMC4wLjAwMDAiLCJQIjoiV2luMzIiLCJBTiI6Ik1haWwiLCJXVCI6Mn0%3D%7C0%7C%7C%7C&amp;sdata=7j2ZPdHyYJG7MY6Iuxdysr%2FRxHJDv6BP4PHryR7zW%2FM%3D&amp;reserved=0" xr:uid="{92EDCAC7-9D00-4BCE-B721-9FCE961FF15F}"/>
    <hyperlink ref="B441" r:id="rId155" display="https://na01.safelinks.protection.outlook.com/?url=https%3A%2F%2Flink.mail.beehiiv.com%2Fss%2Fc%2FAFHHY18NT0_ddKuYrElMRjEC3OVEvdClyN-rZVRd1Ikpf_hz2yKO0nMu5g_mf_g0mjN9LQoxpRca6dtXw5rOQF4VauOwXOoo5QtjLsb2jMe75oIp-ius1RzhWX7DZ12ewvl8B2aFQ-t70lOc_VIGheOSafQ1NNRqbi6y4Jgy6DFWIKz2D0J1qPN6hiMsm1In1tZup7vkOu1Zp7XB6N47Mg%2F43i%2FVZXkmRJsSFSMuNveIPAPOg%2Fh7%2FJJSXUvsq_UJ-lNai9FlXI8L8Da5rvUwD2zwssV9tkzo&amp;data=05%7C02%7C%7C75ba92a3f6b04a2e5e2c08dc2411b13f%7C84df9e7fe9f640afb435aaaaaaaaaaaa%7C1%7C0%7C638424905646271425%7CUnknown%7CTWFpbGZsb3d8eyJWIjoiMC4wLjAwMDAiLCJQIjoiV2luMzIiLCJBTiI6Ik1haWwiLCJXVCI6Mn0%3D%7C0%7C%7C%7C&amp;sdata=cO6Mi8pZwQkkZSobKa9DLHLfXodNqs49bGM7iESa2R8%3D&amp;reserved=0" xr:uid="{6E1EFA12-911C-42B5-A8F2-DCA80A35C1A2}"/>
    <hyperlink ref="B399" r:id="rId156" display="https://na01.safelinks.protection.outlook.com/?url=https%3A%2F%2Flink.mail.beehiiv.com%2Fss%2Fc%2F8iXKAwwMM1W-cI7L7LOvGvwvt3bZcrE4Rtll0EyAjPArr1xlLbg9xTyIzKixpq7TRIN_C8NjXUJJg69E7SudHwsz0jblFEcfus6gM4S5xxlpFD--XEQmcf6g-D3pRzjmgFfPrH3m01IbPlNAI9qLUZUoJ-1eS29LfC082O5eUzSP5-wCLfQTaOznx0zUaQ-ExnDYM3O6pZntGYNF6K42Xg%2F43i%2FVZXkmRJsSFSMuNveIPAPOg%2Fh5%2Fe2crXtM9aK8c66hO_K7lxKJWPEAvXB9v9kC_1gsl7IU&amp;data=05%7C02%7C%7C75ba92a3f6b04a2e5e2c08dc2411b13f%7C84df9e7fe9f640afb435aaaaaaaaaaaa%7C1%7C0%7C638424905646243297%7CUnknown%7CTWFpbGZsb3d8eyJWIjoiMC4wLjAwMDAiLCJQIjoiV2luMzIiLCJBTiI6Ik1haWwiLCJXVCI6Mn0%3D%7C0%7C%7C%7C&amp;sdata=o2%2FYppcYq5RMs0UUvvCDbRoNvCLc6%2FB0RF94eptSkpI%3D&amp;reserved=0" xr:uid="{3326FEE4-FC02-4AC5-BD85-11FABBB59E06}"/>
    <hyperlink ref="B71" r:id="rId157" display="https://na01.safelinks.protection.outlook.com/?url=https%3A%2F%2Flink.mail.beehiiv.com%2Fss%2Fc%2FAFHHY18NT0_ddKuYrElMRqQuFD3C-frH95uHYV-FZMefNow6DAqrRbJVv0bcTD2WpksbMJENIU9pm6s7JyBjxT_eedpGuJuKDUaVXtluLfS-iBAAXm-dGjH-JqXPH9CQwZNNZnpbhuwDuP1vEI8iL8cOK-Mh9A1_TTO2ZOcLbPmg3BEJ85Z2NISmirXhzo4BoQe27_dHZqJpYP2ClAmwfQ%2F43i%2FVZXkmRJsSFSMuNveIPAPOg%2Fh4%2FjAk_IFRxE0Ik0jvU2A84WnpBjIncTfIpYMwdUyROqHw&amp;data=05%7C02%7C%7C75ba92a3f6b04a2e5e2c08dc2411b13f%7C84df9e7fe9f640afb435aaaaaaaaaaaa%7C1%7C0%7C638424905646229217%7CUnknown%7CTWFpbGZsb3d8eyJWIjoiMC4wLjAwMDAiLCJQIjoiV2luMzIiLCJBTiI6Ik1haWwiLCJXVCI6Mn0%3D%7C0%7C%7C%7C&amp;sdata=bUP4skNnjo5zAKWCd7o3enEj3nH518kn0ydxQvmZb7g%3D&amp;reserved=0" xr:uid="{684DA7A7-E1F7-431D-80CA-23B170FC1C5E}"/>
    <hyperlink ref="B237" r:id="rId158" display="https://na01.safelinks.protection.outlook.com/?url=https%3A%2F%2Flink.mail.beehiiv.com%2Fss%2Fc%2FAFHHY18NT0_ddKuYrElMRrg-gdmAyd5wfTRtRhkrNz-W-6GK8rBnKNkP7BLd6t6ge3qxvPdMN_bZTW65k78rw3V4ysOzyzR0VQ7JoUS1YqNkWFnuDPa53wxaMZiK_6hAh3m1ZaBPp8GET1BzmIWSkffWpaKT4eJgZGfpIVuoxHASTlr0PWb9iCkF7F7Soszas0Z8AyTWpmEJ-B3a6hZD0g%2F43i%2FVZXkmRJsSFSMuNveIPAPOg%2Fh3%2Fju_Kgi5Ath2E2EowePj3PVOwwmF_Zy5CHdYi-1vPw-A&amp;data=05%7C02%7C%7C75ba92a3f6b04a2e5e2c08dc2411b13f%7C84df9e7fe9f640afb435aaaaaaaaaaaa%7C1%7C0%7C638424905646214946%7CUnknown%7CTWFpbGZsb3d8eyJWIjoiMC4wLjAwMDAiLCJQIjoiV2luMzIiLCJBTiI6Ik1haWwiLCJXVCI6Mn0%3D%7C0%7C%7C%7C&amp;sdata=Q7r07ysHQJSzWkKkbJm5MBx55IXxmVBOeymHUerWt4I%3D&amp;reserved=0" xr:uid="{9C8B7B6E-2848-4DD2-8D3F-7B6E86656AF2}"/>
    <hyperlink ref="B309" r:id="rId159" xr:uid="{3FE549D9-BAEE-4569-9B51-A42CDC956193}"/>
    <hyperlink ref="B54" r:id="rId160" display="https://na01.safelinks.protection.outlook.com/?url=https%3A%2F%2Flink.mail.beehiiv.com%2Fss%2Fc%2FAFHHY18NT0_ddKuYrElMRk0-4Sp0rps3WVb88kwtwMSBKjwBBEiu_dmbboK-VBWSTAorPKfnd6bMplJ7rCOQmhGD08zbc-qIsoYfx_5ZtFvJKDlgE4s3MlqOz_Ybye9mqFPST9g84CGjTlFDTSnq3cLvgG6-BDVOmNGWRtSJJl4%2F43l%2FHwMXHvz3RievO6mgT_l0CA%2Fh5%2FwmrZuK9EUiUMFv0cJkXvs5z1Z4VGLerPv0KtOB9KiAc&amp;data=05%7C02%7C%7C4c8a7b702214462daaff08dc266d644f%7C84df9e7fe9f640afb435aaaaaaaaaaaa%7C1%7C0%7C638427498508997489%7CUnknown%7CTWFpbGZsb3d8eyJWIjoiMC4wLjAwMDAiLCJQIjoiV2luMzIiLCJBTiI6Ik1haWwiLCJXVCI6Mn0%3D%7C0%7C%7C%7C&amp;sdata=H4cZEYrvsd3kRXgfNwqM%2BBKgfEAsvhnDZfSZ9KHmn3M%3D&amp;reserved=0" xr:uid="{C7E01BD0-3AAB-4AC8-A8D6-5BB9E5589327}"/>
    <hyperlink ref="B18" r:id="rId161" display="https://na01.safelinks.protection.outlook.com/?url=https%3A%2F%2Flink.mail.beehiiv.com%2Fss%2Fc%2FAFHHY18NT0_ddKuYrElMRsYszx2xTONEw2KGyQClt1JGq2Tngby_Lgf2JqeGp1pBVi_sCvQz7uXApbBCIP6MrSNdaO_w1P3vRnm-NheQcjvlv2Jz9XI14Vi8fw14q1j6CCLBOjaPQ36Fh-6KF2pf80zIqPHblLCl0tU-RQ2ihRNRTftGGPrJEubfT5t6knMKeLkE76Qgg8F_j1ttNq_FXw%2F43m%2FvFXgn5S6T7Sw99TphhHG7Q%2Fh9%2FoaSzOeeMIvEuVsuoL3hULt9vEtc_qkwjrXMotu7_7w0&amp;data=05%7C02%7C%7C2468f54dedf74fd6b8bf08dc271ca354%7C84df9e7fe9f640afb435aaaaaaaaaaaa%7C1%7C0%7C638428251196495198%7CUnknown%7CTWFpbGZsb3d8eyJWIjoiMC4wLjAwMDAiLCJQIjoiV2luMzIiLCJBTiI6Ik1haWwiLCJXVCI6Mn0%3D%7C0%7C%7C%7C&amp;sdata=NC5jX2LhJd3CPLedDR38vUxqQoEVQG5x6OzDp7ba6EI%3D&amp;reserved=0" xr:uid="{7B5920F8-4B97-4AF1-8F88-486360AFF3E3}"/>
    <hyperlink ref="B135" r:id="rId162" display="https://na01.safelinks.protection.outlook.com/?url=https%3A%2F%2Flink.mail.beehiiv.com%2Fss%2Fc%2FAFHHY18NT0_ddKuYrElMRnjr6al3gNq_NUurxiVdAOu7eyJqTc65wyU1BrDraZgkUhMV0a1hylvCG3qGkPeyHQQiBHYMrT8SLPLcMQsRjAKSdtTpg-LtUIKTNRlvE5pX6m_3Q4S1jrHFhthYoOAR-EVYyCdWe-d4BjHjDIExKcFIsZ1WEqtwCr7F5dzjqOXczQatqWICfK0gujyqCaKZ-Q%2F43m%2FvFXgn5S6T7Sw99TphhHG7Q%2Fh7%2Fhi-rPeUxbdQ2znb-muvMf4uWyxjp9P0wJVUNZmicLdk&amp;data=05%7C02%7C%7C2468f54dedf74fd6b8bf08dc271ca354%7C84df9e7fe9f640afb435aaaaaaaaaaaa%7C1%7C0%7C638428251196482031%7CUnknown%7CTWFpbGZsb3d8eyJWIjoiMC4wLjAwMDAiLCJQIjoiV2luMzIiLCJBTiI6Ik1haWwiLCJXVCI6Mn0%3D%7C0%7C%7C%7C&amp;sdata=k1CqxmJS7T3rzFQvf1JD7Blask3GQ0xv3imz0koY%2BGI%3D&amp;reserved=0" xr:uid="{54FF4F7E-7FEF-4CDF-9AC1-F5BF5B51A6B2}"/>
    <hyperlink ref="B197" r:id="rId163" display="https://na01.safelinks.protection.outlook.com/?url=https%3A%2F%2Flink.mail.beehiiv.com%2Fss%2Fc%2FAFHHY18NT0_ddKuYrElMRoxiDvYIlzJcN1PVG1ViZv7J8SpWwXQMYO5Vdy71lnC5YooBtr_PmAJtUjL2FNq5zR9Br0O14XJsxS79EkKs7P55clfzJcVV_cyGPCpQIsnGUcSG_RmKzbrAHXdahg0XWCqLiTVBQEzXJ6V0GLTdiiTydcXpkIgCONPKcHuhla-IIuWRhQbV9NhmmywDCz3uSQ%2F43m%2FvFXgn5S6T7Sw99TphhHG7Q%2Fh6%2FL9mGgmjY_8oud8JJdW9hbNQYfjIR7VjKMLk_EUuI7rg&amp;data=05%7C02%7C%7C2468f54dedf74fd6b8bf08dc271ca354%7C84df9e7fe9f640afb435aaaaaaaaaaaa%7C1%7C0%7C638428251196475254%7CUnknown%7CTWFpbGZsb3d8eyJWIjoiMC4wLjAwMDAiLCJQIjoiV2luMzIiLCJBTiI6Ik1haWwiLCJXVCI6Mn0%3D%7C0%7C%7C%7C&amp;sdata=CtkliPWeuIoC1ev1BK%2BX4CAx50JdCnGz3FIVquFM5tA%3D&amp;reserved=0" xr:uid="{28850744-C638-4D4A-9652-004C084629A5}"/>
    <hyperlink ref="B55" r:id="rId164" display="https://na01.safelinks.protection.outlook.com/?url=https%3A%2F%2Flink.mail.beehiiv.com%2Fss%2Fc%2FkTklpAxml3EW3RaiF8_gQhWnk0BHfqh1nM6V8_vN_DeDzPFibHYgxrGx9-zU0uK_mARTYT8CCIrFVkxJoegXiHj3Bga0g1pIw919AeRdwDrPUiDo8Zzr0LHjRUxLaDeD_RJFewwtAC-Q_y0SMMI2oFCfcere-3HjK7Z8R-PgftVZhqPafbijiLk21KSHkPyOKbLfhJsF3BzzUUm6vJ4n1Q%2F43n%2FiO-pL6SiSOqAXUwE07J6jg%2Fh11%2FxH5ZF6PgNQCmdHDrH7b-m3jUjDLwS--f1vRjrYkLWrw&amp;data=05%7C02%7C%7Ccf9a69073011423d7bb908dc280386ca%7C84df9e7fe9f640afb435aaaaaaaaaaaa%7C1%7C0%7C638429242852225722%7CUnknown%7CTWFpbGZsb3d8eyJWIjoiMC4wLjAwMDAiLCJQIjoiV2luMzIiLCJBTiI6Ik1haWwiLCJXVCI6Mn0%3D%7C0%7C%7C%7C&amp;sdata=8KhRUDgffaFpVKJAzqJfyzMd6AyP%2B3Vw8OY079uKMvE%3D&amp;reserved=0" xr:uid="{34B6072A-95E0-42C1-9C7E-4E43B2ABC4FD}"/>
    <hyperlink ref="B326" r:id="rId165" display="https://na01.safelinks.protection.outlook.com/?url=https%3A%2F%2Flink.mail.beehiiv.com%2Fss%2Fc%2FAFHHY18NT0_ddKuYrElMRtF2wWuCzIUzeTYi1WziHqJF1R238DVdpw6KkF-4p6hHXqA8puGcTg5K0cNqjjJO-5g0iPpDcgt5OUOZSCXS_iP9ri1FyPmMZ4LJhgWFCXYg8khLUGwBImGOw5DZzx93hb3cx5Yqu81GH5WxhJMqzJJOPgVuuB61miPhr4ukCq3EDmzOBquh0k3q3gClfrhG1w%2F43n%2FiO-pL6SiSOqAXUwE07J6jg%2Fh10%2F8AzNtabPCdARQlHHADj_VnhJyiiE3org6FRHS6MKAr0&amp;data=05%7C02%7C%7Ccf9a69073011423d7bb908dc280386ca%7C84df9e7fe9f640afb435aaaaaaaaaaaa%7C1%7C0%7C638429242852214768%7CUnknown%7CTWFpbGZsb3d8eyJWIjoiMC4wLjAwMDAiLCJQIjoiV2luMzIiLCJBTiI6Ik1haWwiLCJXVCI6Mn0%3D%7C0%7C%7C%7C&amp;sdata=GXWpH0SanZt071E1A0seNbYO3dHSW2l4PIzecnuhysA%3D&amp;reserved=0" xr:uid="{07E2A83D-1F2F-4716-BD71-6361B435CF02}"/>
    <hyperlink ref="B223" r:id="rId166" display="https://na01.safelinks.protection.outlook.com/?url=https%3A%2F%2Flink.mail.beehiiv.com%2Fss%2Fc%2FAFHHY18NT0_ddKuYrElMRmrcnMgb38BJfRKojett7yoytuQzewiutW615-PLCzFlmeCHyVaju_hHJFfoNywycXfhBkaB-FVDwyFwsDhM7IFi5ilnnfkUoEZJ8qtYT7-wHB5kRi6CRDNWrPOn6BsIKuKKZ6kEmwpLdoJrUU3ZXQsx6BkCmgotmY3k_YiW4VgTtqSt5vFccc2AweoN3XcEsIqnodTZXU8BMxEBGVTEPMU%2F43n%2FiO-pL6SiSOqAXUwE07J6jg%2Fh9%2Fdw-NsTVcNgMB7Fck7dvtRa6rj0oR9ggHPzGB57ihfNs&amp;data=05%7C02%7C%7Ccf9a69073011423d7bb908dc280386ca%7C84df9e7fe9f640afb435aaaaaaaaaaaa%7C1%7C0%7C638429242852204235%7CUnknown%7CTWFpbGZsb3d8eyJWIjoiMC4wLjAwMDAiLCJQIjoiV2luMzIiLCJBTiI6Ik1haWwiLCJXVCI6Mn0%3D%7C0%7C%7C%7C&amp;sdata=ab1uTdgHqsAS71OWDMax8MXUL%2FrYnJwB4b8e%2Bx5kKss%3D&amp;reserved=0" xr:uid="{81B8817C-07BF-41FF-B831-A439CAB03FF1}"/>
    <hyperlink ref="B134" r:id="rId167" display="https://na01.safelinks.protection.outlook.com/?url=https%3A%2F%2F31634813.bhclick.com%2Fss%2Fc%2FAFHHY18NT0_ddKuYrElMRkEpMsvb2J77l7_idN_OXGtmlYqwkKLQmE0njdMtlNiOmKfX-2YI-xc9X_aMB_w-FWkPpF-oxeTOzrWcr1XlzcougZf0HZcLl9taoYXnJeA1a259s3PiZMoaV1CfZgZOZyskozzh8v-f77iCbpiwNJvYrr9v7UuqEkIobQ-3_lHXnBfmX2wHqYCxXWEN2mFIOMH5S0mttdE0rKklgz6pqAw%2F43o%2FTYbM0llAQ9i5NV5nw08yTw%2Fh13%2Fxue3ONpG2eKF3EwpQ9pwKJAKNYxe-QK8kGdqCoMYHPQ&amp;data=05%7C02%7C%7C9033785e649243c4dfaa08dc28c8a6bc%7C84df9e7fe9f640afb435aaaaaaaaaaaa%7C1%7C0%7C638430089486120439%7CUnknown%7CTWFpbGZsb3d8eyJWIjoiMC4wLjAwMDAiLCJQIjoiV2luMzIiLCJBTiI6Ik1haWwiLCJXVCI6Mn0%3D%7C0%7C%7C%7C&amp;sdata=RlZvbu2qNnHLiWEaMRpsgtiD0AxSQCVwr3W8XdOnCKA%3D&amp;reserved=0" xr:uid="{39278DB7-F824-42FE-9A95-D0A4120B4D92}"/>
    <hyperlink ref="B236" r:id="rId168" display="https://na01.safelinks.protection.outlook.com/?url=https%3A%2F%2F31634813.bhclick.com%2Fss%2Fc%2Fz0X5DY489zjmVLlFQopoHc30P4ygMlB8S2tLtQysBQdc1fWj7DF76hD_LXxaUEgz-Emj1R44bU-j6ci0VPjDErw9PVuRRML6OK-6dJ2FU9A6722Z-46eLzCNfE3y__kJFuQbMC4Iuf_5Fc6z1OUX6I74MKYAFkLZWzb8O8P_o1Q5qahoO6lOQq_lmfp4BNBlxGlGOY2PGCWq8pfSHTUUqQ%2F43o%2FTYbM0llAQ9i5NV5nw08yTw%2Fh10%2FmJ7jaHVsj77oGdG9ISs2mj6TveigqKxrhMAXsqyk8e8&amp;data=05%7C02%7C%7C9033785e649243c4dfaa08dc28c8a6bc%7C84df9e7fe9f640afb435aaaaaaaaaaaa%7C1%7C0%7C638430089486086934%7CUnknown%7CTWFpbGZsb3d8eyJWIjoiMC4wLjAwMDAiLCJQIjoiV2luMzIiLCJBTiI6Ik1haWwiLCJXVCI6Mn0%3D%7C0%7C%7C%7C&amp;sdata=Psw4xI4yTVkT658ud2rT7gPeOzNC6ceRU9qFdaXsezU%3D&amp;reserved=0" xr:uid="{1EB1C3CE-AE43-44E2-92C0-FBADB63A9696}"/>
    <hyperlink ref="B406" r:id="rId169" display="https://na01.safelinks.protection.outlook.com/?url=https%3A%2F%2F31634813.bhclick.com%2Fss%2Fc%2FAFHHY18NT0_ddKuYrElMRn7n-0I_t-O-9CAYkEKgnYsOmAd9C0ghXOTbKD5zt7YdMl2IJCNjDQ1v-xP0MUFjmPTzPJpl6nYbQCj3YhPfIE4s39YUEDnz8tf9ag7judPI_ujxyP7Uk4HajkSmEP3nSgEurdQXulpf9CmbmiOkA4S1wAXbb9GyOJBhA8OmWeky8Mr7EZzzKbE1nwZB1Cd57g%2F43o%2FTYbM0llAQ9i5NV5nw08yTw%2Fh9%2FOP01A7WPQXtW7bxReB6K05R0mLMsjlYO7FSi1lKtyrY&amp;data=05%7C02%7C%7C9033785e649243c4dfaa08dc28c8a6bc%7C84df9e7fe9f640afb435aaaaaaaaaaaa%7C1%7C0%7C638430089486074960%7CUnknown%7CTWFpbGZsb3d8eyJWIjoiMC4wLjAwMDAiLCJQIjoiV2luMzIiLCJBTiI6Ik1haWwiLCJXVCI6Mn0%3D%7C0%7C%7C%7C&amp;sdata=pcq9gHxdZ0xYaa%2FT9W0RJQ%2B3iFq64o4sHU7%2BQ63NjUA%3D&amp;reserved=0" xr:uid="{533ECFD5-D18E-4575-B5BE-87203F22D897}"/>
    <hyperlink ref="B394" r:id="rId170" display="https://na01.safelinks.protection.outlook.com/?url=https%3A%2F%2Flink.mail.beehiiv.com%2Fss%2Fc%2Fi2IHzAzoiY266rd2UY2dVJECW1LDdzFGrzZ86pz3gAPKQ3vGx9AyZpBuIMs18cnx0GrIXqbDvMrW1bKUcCEH-1_2d-8Yg1ol3CfiLyBuwpwUjpxsyVpeqTNYKRr7fckgcaVg82sMpirKB8wLDNfL_uu_tyqnG1lppirJSVeJo6lPqTFia1ZjifywCIXMznRf%2F43p%2FjvHr-I6eRUCnOzE4IDkryQ%2Fh11%2FPshLoo_T6Jgp9ijQ-AHQwP6TXl9U_VT922qNs_lgg2M&amp;data=05%7C02%7C%7C5cce792f15a54dfab9b808dc2992240f%7C84df9e7fe9f640afb435aaaaaaaaaaaa%7C1%7C0%7C638430954878867899%7CUnknown%7CTWFpbGZsb3d8eyJWIjoiMC4wLjAwMDAiLCJQIjoiV2luMzIiLCJBTiI6Ik1haWwiLCJXVCI6Mn0%3D%7C0%7C%7C%7C&amp;sdata=JtIX1YIIeOtnHSOaKfU4dRCZf57pd5N99oWWdotSvqM%3D&amp;reserved=0" xr:uid="{51CBCF03-8698-4183-8F77-7155AFE44D46}"/>
    <hyperlink ref="B21" r:id="rId171" xr:uid="{983BBF45-466B-4B96-8505-F81D28F205FE}"/>
    <hyperlink ref="B5" r:id="rId172" xr:uid="{094B58DE-05BD-4A70-A421-414C86F4109C}"/>
    <hyperlink ref="B295" r:id="rId173" xr:uid="{5C596D62-D76D-4238-A500-87E3C756FA90}"/>
    <hyperlink ref="B294" r:id="rId174" xr:uid="{0D486D8D-C7E6-4882-9E7C-A77DF4B4ECFD}"/>
    <hyperlink ref="B179" r:id="rId175" xr:uid="{1B9E03BF-D9D8-4885-8D25-F014FFB8304B}"/>
    <hyperlink ref="B33" r:id="rId176" xr:uid="{ABE38145-933E-4AF4-8DC6-F97AFC4D351A}"/>
    <hyperlink ref="B331" r:id="rId177" xr:uid="{CE2BAB37-973B-4407-B816-3117D27FE203}"/>
    <hyperlink ref="B444" r:id="rId178" xr:uid="{67C1BA7B-DE03-4DF9-A8E7-84F0C064FA4A}"/>
    <hyperlink ref="B83" r:id="rId179" xr:uid="{A9631E2E-8794-49BB-9CB6-2A75695DF601}"/>
    <hyperlink ref="B86" r:id="rId180" xr:uid="{74290822-C4FE-440A-9293-20E3C9FF0026}"/>
    <hyperlink ref="B199" r:id="rId181" xr:uid="{2B453C52-D718-4BFC-B762-832D5264028E}"/>
    <hyperlink ref="B330" r:id="rId182" xr:uid="{31E2D528-7495-4A6A-BA14-915BAC1E9B1F}"/>
    <hyperlink ref="B201" r:id="rId183" xr:uid="{806BDD2B-67F1-431E-8801-E548D330A8DE}"/>
    <hyperlink ref="B19" r:id="rId184" xr:uid="{2E2F4B2A-8EF6-408B-BB2E-5B7B827172B9}"/>
    <hyperlink ref="B381" r:id="rId185" xr:uid="{C3A01769-DF3B-4925-8A32-278E45049BE0}"/>
    <hyperlink ref="B204" r:id="rId186" xr:uid="{1A8B71CA-F4A5-450A-8210-E6329C702C5F}"/>
    <hyperlink ref="B27" r:id="rId187" xr:uid="{AC928884-D332-42BB-94D9-4972438098B1}"/>
    <hyperlink ref="B16" r:id="rId188" xr:uid="{8BA48B04-45F7-4496-9376-B69CBCDA1F21}"/>
    <hyperlink ref="B81" r:id="rId189" xr:uid="{37706857-6D78-4F1E-93EB-29DEE7A4A844}"/>
    <hyperlink ref="B452" r:id="rId190" xr:uid="{825E7032-145D-46D9-87A9-F777B9B8D92E}"/>
    <hyperlink ref="B195" r:id="rId191" xr:uid="{B1803D40-E7FD-4018-BE41-3BFFC11DC57E}"/>
    <hyperlink ref="B162" r:id="rId192" xr:uid="{E3E296E1-AA74-4106-8670-BA979095774B}"/>
    <hyperlink ref="B191" r:id="rId193" xr:uid="{F0CA2A40-14B3-410B-941B-317A7E2CD236}"/>
    <hyperlink ref="B245" r:id="rId194" xr:uid="{D01127C6-FEFE-4508-896B-579802580208}"/>
    <hyperlink ref="B324" r:id="rId195" xr:uid="{7D60BF28-F880-41BE-9AF3-5456C6823D92}"/>
    <hyperlink ref="B292" r:id="rId196" xr:uid="{3EC07E0F-A80E-440F-8A22-29E1EBF28B10}"/>
    <hyperlink ref="B271" r:id="rId197" xr:uid="{E1B48AE5-448D-442A-9C58-C7ED72C752E9}"/>
    <hyperlink ref="B235" r:id="rId198" xr:uid="{885FCE9D-5367-4369-9553-4B718048366D}"/>
    <hyperlink ref="B57" r:id="rId199" xr:uid="{A1A9275B-D130-42E5-9BF7-331710B1AE5F}"/>
    <hyperlink ref="A391" r:id="rId200" display="https://mitenmit.github.io/gpt/?utm_source=www.superhuman.ai&amp;utm_medium=newsletter&amp;utm_campaign=openai-and-meta-announce-efforts-to-fight-ai-generated-deepfakes" xr:uid="{05143A7A-2419-4955-88C5-23FE5E86AA0E}"/>
    <hyperlink ref="A284" r:id="rId201" display="https://na01.safelinks.protection.outlook.com/?url=https%3A%2F%2Flink.mail.beehiiv.com%2Fss%2Fc%2FAFHHY18NT0_ddKuYrElMRsq1BiRCgPWWfbhSm6kOK2LBR8UpyAWneQWDq_vwctjkURXZUg_Vehqp6K57yIQzle76f0eOp8lbUM42ZJhAiLXBgkgaCwOrXCA2cacLfNawR9q9_7ULhJ57zoLBNaEmUKCbBvSF7RJjrIkclQU1FWIomjcoB9gzTEdCjqgdFFLh%2F424%2FBVkUGzYrTG-kh98VJPJSTw%2Fh19%2FB9cg3maJvVxbiPAlvXNv7pluZUnOpzDqLqDKmiwr1uc&amp;data=05%7C02%7C%7Cfd3a0e0a2d644921ca6c08dbfcc76b46%7C84df9e7fe9f640afb435aaaaaaaaaaaa%7C1%7C0%7C638381705721564271%7CUnknown%7CTWFpbGZsb3d8eyJWIjoiMC4wLjAwMDAiLCJQIjoiV2luMzIiLCJBTiI6Ik1haWwiLCJXVCI6Mn0%3D%7C3000%7C%7C%7C&amp;sdata=DB6ldcBbGY5%2F37YN12M8o22VrFROaNGTPr%2BU4wicL8U%3D&amp;reserved=0" xr:uid="{BD3D7BF7-310D-458B-B416-8BC1546D7E4A}"/>
    <hyperlink ref="A421" r:id="rId202" display="https://na01.safelinks.protection.outlook.com/?url=https%3A%2F%2Flink.mail.beehiiv.com%2Fss%2Fc%2FmRpFJppvZP-Kc2DMS078G-NhYi2ZT0Wn6zOJBpw2cOkiCm4U0Q_lsC4sTz08gR7juY0OHlZJ_v5wUTHVYGdegPwgUsfyuUQk_dAXA7matYIagYCrIQ1RtDnk1m8onP5MKTV7-l80UEjziPV7Ui17r9WJsHy9knDe-Z5gpgI8gt1CGFDc5SP7modjxcxEBvhm%2F424%2FBVkUGzYrTG-kh98VJPJSTw%2Fh16%2Fqj4yGKVsIXYeh8Rd5EzkQ7aIj3BUShY9yingbo6v2pA&amp;data=05%7C02%7C%7Cfd3a0e0a2d644921ca6c08dbfcc76b46%7C84df9e7fe9f640afb435aaaaaaaaaaaa%7C1%7C0%7C638381705721564271%7CUnknown%7CTWFpbGZsb3d8eyJWIjoiMC4wLjAwMDAiLCJQIjoiV2luMzIiLCJBTiI6Ik1haWwiLCJXVCI6Mn0%3D%7C3000%7C%7C%7C&amp;sdata=wRgOYG1sNRMQ%2F9CNOVpIoD%2Fpc5pK3NsShtRoTIReYwI%3D&amp;reserved=0" xr:uid="{36E8E7B5-2A5C-4DC7-BAD1-DB0822E908C6}"/>
    <hyperlink ref="A204" r:id="rId203" display="https://na01.safelinks.protection.outlook.com/?url=https%3A%2F%2Flink.mail.beehiiv.com%2Fss%2Fc%2F8Y-VoJkoDnX1zI1WLAgXF_KOD5VSOwhmS4AHLa981cj_P4WPzynJ6r1aBvikfRcyy8BjRGmvnwHdiNdy-bsIaWsukajtWpO8pwePOjwyshOqnCmPymnW3vddATxbtBLQnVV1_2YW3IkVNEBVMJFlyJFlt9_n1GVt79rFCW0U9eGQLjKrBFmoNxRSF9X5HcmK%2F424%2FBVkUGzYrTG-kh98VJPJSTw%2Fh15%2FX891dh9L-xc5zT4dXymQOU5_wRK-y76chrnxJEt3AJA&amp;data=05%7C02%7C%7Cfd3a0e0a2d644921ca6c08dbfcc76b46%7C84df9e7fe9f640afb435aaaaaaaaaaaa%7C1%7C0%7C638381705721564271%7CUnknown%7CTWFpbGZsb3d8eyJWIjoiMC4wLjAwMDAiLCJQIjoiV2luMzIiLCJBTiI6Ik1haWwiLCJXVCI6Mn0%3D%7C3000%7C%7C%7C&amp;sdata=OiLgdo1lPbTP3ar%2F7bv%2FDlVkGnC8nA6pNkp4Nx70uSc%3D&amp;reserved=0" xr:uid="{CB662D5F-2D2D-4AC4-B66C-3C78932D44B6}"/>
    <hyperlink ref="A424" r:id="rId204" display="https://na01.safelinks.protection.outlook.com/?url=https%3A%2F%2Flink.mail.beehiiv.com%2Fss%2Fc%2FAFHHY18NT0_ddKuYrElMRu1mM61JyYHmDwISLt1_boqDP0feY1wfKIbdxB64KedpQQ-U1wXug_G8DssvdkKdmbH_V9KgbWSTWW5EBuhkGDshCOW4sObvEGEo3VWGJ4BqwIHumjhy-eEldRP9m6IAxP0Q4zVD0svr0cM9miK_IT_8kUqqfgloFPmuimGsBDTXk0kuxtEetMaEMbLuZWT4gA%2F425%2FBAt7DEa7RBuNXTUzReGD5A%2Fh17%2F_BnEVcAtYArGenqcRkA8yZ70YM7694aMUIY_8-TP8Dc&amp;data=05%7C02%7C%7C9a9fcf3ef1f04979b0cd08dbfd90c779%7C84df9e7fe9f640afb435aaaaaaaaaaaa%7C1%7C0%7C638382570530352505%7CUnknown%7CTWFpbGZsb3d8eyJWIjoiMC4wLjAwMDAiLCJQIjoiV2luMzIiLCJBTiI6Ik1haWwiLCJXVCI6Mn0%3D%7C3000%7C%7C%7C&amp;sdata=gH2QT%2Bc3hDYBwgzQ9xSAR9TFZXambtGXlvOsKrKRrQI%3D&amp;reserved=0" xr:uid="{AEB76D06-7AE8-4A77-B40B-F74A4DB04F26}"/>
    <hyperlink ref="A311" r:id="rId205" display="https://na01.safelinks.protection.outlook.com/?url=https%3A%2F%2Flink.mail.beehiiv.com%2Fss%2Fc%2FAFHHY18NT0_ddKuYrElMRnfH6BtS_Ry27Qz3s-fdKyd6N2Dhqy8PkZJnHQCjzAwHaNd59NrZLyIkvpcCxsH8M5YRF3RBsw5IB30G25-HtCiK3gdNCwpSwwTNz8RmC7x8lnj1R-vH5uThraL0WD0rMCH80u3vVELUODUfzyvkCUrtnGEuGGX0GHLCP0rKvxZs90-SfNwZ1_d0ifhoaSaMKQ%2F425%2FBAt7DEa7RBuNXTUzReGD5A%2Fh16%2FfItVy1tnloC2pLOXfXPnuqhO_I8sBDYbuj0BFwiVpIw&amp;data=05%7C02%7C%7C9a9fcf3ef1f04979b0cd08dbfd90c779%7C84df9e7fe9f640afb435aaaaaaaaaaaa%7C1%7C0%7C638382570530352505%7CUnknown%7CTWFpbGZsb3d8eyJWIjoiMC4wLjAwMDAiLCJQIjoiV2luMzIiLCJBTiI6Ik1haWwiLCJXVCI6Mn0%3D%7C3000%7C%7C%7C&amp;sdata=OCelr%2BUORY56zVK3VpDs64P8V4QHxkgVxpA1GmmKFQE%3D&amp;reserved=0" xr:uid="{050EDCD8-BA32-4443-B169-855C84CDC98D}"/>
    <hyperlink ref="A413" r:id="rId206" display="https://na01.safelinks.protection.outlook.com/?url=https%3A%2F%2Flink.mail.beehiiv.com%2Fss%2Fc%2FAFHHY18NT0_ddKuYrElMRqCnMmeOl4wst7cNUGZ5bmz-0qnXDW_ue3cVmSUdfxNqRUzKJ954mvreFrm6lFQ3bHMyTbR-dYv3z7LtxYfNI5mxgHdFwDtmP4TYzBE9nbrfn_Hg7B2fpHNY9EN3FYOLhmkAEJ9y3BN2FGJTELSEUz4oky-LL1ODi-Mxto9yKaSf%2F428%2FXDkX1EU2RguIZ3sW5zoTXg%2Fh21%2FSF3hP91TkgXsvDD0JMfqdDMkWaAdzvY5DtvST9cM15g&amp;data=05%7C02%7C%7C131e8d403b6f42fc230808dbfff04d7d%7C84df9e7fe9f640afb435aaaaaaaaaaaa%7C1%7C0%7C638385179834664319%7CUnknown%7CTWFpbGZsb3d8eyJWIjoiMC4wLjAwMDAiLCJQIjoiV2luMzIiLCJBTiI6Ik1haWwiLCJXVCI6Mn0%3D%7C3000%7C%7C%7C&amp;sdata=i1jCAeCwry3JaL7zSKjJuoWubp84MXsZpPEEQDWD2Tg%3D&amp;reserved=0" xr:uid="{A643EA50-07C6-4A39-ABCD-9A6326FC404F}"/>
    <hyperlink ref="A353" r:id="rId207" display="https://na01.safelinks.protection.outlook.com/?url=https%3A%2F%2Flink.mail.beehiiv.com%2Fss%2Fc%2FAFHHY18NT0_ddKuYrElMRrCcp2IMNBxi_XpiIklx4K1TkcMmo-JeadCgjXHSgu_qypTem5wSaSg9zYHOBbFZsYJopCPgivmFbl0_HomHVizj3T8rNy2I92rALweUBlUAxlWAYw_K396gBqf4cN_1sD6pN9W5Xjo_ZHXBGrkwN06MOge9QzsgN7XOomFV6Ppl%2F428%2FXDkX1EU2RguIZ3sW5zoTXg%2Fh18%2F2C-_Bwu05hLBmjTdQ9KEYe5HlhHUjN75y9bVwM8LGgc&amp;data=05%7C02%7C%7C131e8d403b6f42fc230808dbfff04d7d%7C84df9e7fe9f640afb435aaaaaaaaaaaa%7C1%7C0%7C638385179834664319%7CUnknown%7CTWFpbGZsb3d8eyJWIjoiMC4wLjAwMDAiLCJQIjoiV2luMzIiLCJBTiI6Ik1haWwiLCJXVCI6Mn0%3D%7C3000%7C%7C%7C&amp;sdata=t7IB%2BSgzD3zEW9iDJFpZL6CxMQYYx4brm1H7QZmKNq4%3D&amp;reserved=0" xr:uid="{CC87F638-349C-43F3-8513-BB5CB148D1A7}"/>
    <hyperlink ref="A289" r:id="rId208" display="https://na01.safelinks.protection.outlook.com/?url=https%3A%2F%2Flink.mail.beehiiv.com%2Fss%2Fc%2FYHTaa2XonDw2f6U1lKEHzcbPtVxLLK3P23Ej8ZqWRPrgGkhbSjYCUfXcttkBTjbHRLHQO9S4QG0243N4WGxNd-1-2ahpAFlgDFyUDoUQBu479ZpKZgvlAwIldjvxSEq55qa-mNVXNl2znlx5kvsaHg-2ez6rmUrzB2miO0AMGRADltJmf2pilRN1kU7KrCXw%2F429%2Fh2pqv3d1RQ67Bfh-NIiP1A%2Fh19%2FikbS-MNAs8-araeY7iouikyyix39objHvKooRm_y9xQ&amp;data=05%7C02%7C%7C217feb6faf81474831eb08dc00b512fe%7C84df9e7fe9f640afb435aaaaaaaaaaaa%7C1%7C0%7C638386025021594445%7CUnknown%7CTWFpbGZsb3d8eyJWIjoiMC4wLjAwMDAiLCJQIjoiV2luMzIiLCJBTiI6Ik1haWwiLCJXVCI6Mn0%3D%7C3000%7C%7C%7C&amp;sdata=%2F8u5PGv0h4duMeTBBHBfwanUDnB9WoOU8KICXWc0WCs%3D&amp;reserved=0" xr:uid="{FA669D7C-EA16-484A-9443-2766B28C8C2F}"/>
    <hyperlink ref="A168" r:id="rId209" display="https://na01.safelinks.protection.outlook.com/?url=https%3A%2F%2Flink.mail.beehiiv.com%2Fss%2Fc%2FAFHHY18NT0_ddKuYrElMRonZvaoYnx9aa-aqnTBBLfZRu-NnTS7gZ9v4zl_5bhBZwAncdeTJjXEFxpYDzoFxKZN3ADyUSlgNhnBAQN5TRfson_ciMNOJvyPG-509kon0DZCQHN6KYQo5s_ZTlziIihFsyBW3fHD-RfS5i3DgUOYxqwPPRZnt4Hg3ObCW710vF-cukn2-5dB8BPaY8NUa2Hk_HTKjXT475X4fX6s8Zok%2F42a%2FDUYKkIPEQImOg2lwGf1dYQ%2Fh21%2Fs21YA6otaraXkvsDHUSyqgHGpjT-noRczUOG9GDcGXw&amp;data=05%7C02%7C%7Cc07a9ba8d37e44a91f2f08dc017e4279%7C84df9e7fe9f640afb435aaaaaaaaaaaa%7C1%7C0%7C638386889054421601%7CUnknown%7CTWFpbGZsb3d8eyJWIjoiMC4wLjAwMDAiLCJQIjoiV2luMzIiLCJBTiI6Ik1haWwiLCJXVCI6Mn0%3D%7C3000%7C%7C%7C&amp;sdata=y%2ByRXTxMHrDsADqYYgfAH%2BF4qCE%2Bf3Jfm4mX1bGhIPM%3D&amp;reserved=0" xr:uid="{58E0B3A0-C3BB-47F5-8D29-7BF01FE4BB17}"/>
    <hyperlink ref="A268" r:id="rId210" display="https://na01.safelinks.protection.outlook.com/?url=https%3A%2F%2Flink.mail.beehiiv.com%2Fss%2Fc%2Fz0X5DY489zjmVLlFQopoHRCHH3wh5jmHDuaoN_N0ZmGDnsv46CP4PfEx0nBmbSB7VJycF2PppscZSEfzPYecgZVMrwWnXsVGrcWhcBgG7MzH7KMhKjgKRRcUqcc9JAVreLbT1iQuM-IUu17u8RwxE7RuqzGPMbIhUuh_k2Uyp5-52s3aU08kueTPito064FT5YCmBZyoFH1e_t0k8ly4jw%2F42a%2FDUYKkIPEQImOg2lwGf1dYQ%2Fh18%2FKURJNxPzdZRbF1wBHqsPfKjcAoaya-uXT5oz2jykr_M&amp;data=05%7C02%7C%7Cc07a9ba8d37e44a91f2f08dc017e4279%7C84df9e7fe9f640afb435aaaaaaaaaaaa%7C1%7C0%7C638386889054265389%7CUnknown%7CTWFpbGZsb3d8eyJWIjoiMC4wLjAwMDAiLCJQIjoiV2luMzIiLCJBTiI6Ik1haWwiLCJXVCI6Mn0%3D%7C3000%7C%7C%7C&amp;sdata=nO2XD6jtBnvJ2m0nRJ78KtusNtzZ0bm7UKI6c%2Fpxnos%3D&amp;reserved=0" xr:uid="{4B21DBBF-D391-4834-97F5-862C3C48CB1A}"/>
    <hyperlink ref="A404" r:id="rId211" display="https://na01.safelinks.protection.outlook.com/?url=https%3A%2F%2Flink.mail.beehiiv.com%2Fss%2Fc%2FAFHHY18NT0_ddKuYrElMRtI00OhznQyO9omeD1h5CimkEBgFxHaysmDZUVIV-TNL31En0qWuSSOOii166EzicuKYlOULb6ZSXzdF7fkCJOLiKbCRNb6S1ebp-bYwaTVv7cewCTa6IJrGfZgNcku5jLDKPpAkpiYrmCJPHDdhIbSdr16p9Bn6_6yfG1zi_KKF%2F42c%2F_WBLUzqHQW2DWE7sPqeatg%2Fh19%2FI7R6K8TCgUR2KdDAAYWCQcOwYeWosJRLtYnLgv5eqvs&amp;data=05%7C02%7C%7C3895aa4839e94f9ef30208dc03111ceb%7C84df9e7fe9f640afb435aaaaaaaaaaaa%7C1%7C0%7C638388619287900547%7CUnknown%7CTWFpbGZsb3d8eyJWIjoiMC4wLjAwMDAiLCJQIjoiV2luMzIiLCJBTiI6Ik1haWwiLCJXVCI6Mn0%3D%7C3000%7C%7C%7C&amp;sdata=tca27GK1CI1ohvjJAWKLnXzCMg9aPqHwzXIH42f4BeQ%3D&amp;reserved=0" xr:uid="{00511C66-9E10-4D59-818A-B94F9F79C37A}"/>
    <hyperlink ref="A401" r:id="rId212" display="https://na01.safelinks.protection.outlook.com/?url=https%3A%2F%2Flink.mail.beehiiv.com%2Fss%2Fc%2FjMFTGBN48XY1wUMNWd3dQGyHNhMMSXsNBagoKyz8Ag_fDqKIEWPR1vBGQkxc9waVuHePCPCGFHu1p8zN0O-Tzbfl14lnbtYClxrOecCWFTCKYjMKrFnb81gpCG6VeiVVXmYcyDIS8MuXZF-Wlx8-X0hdjsHFp_tUKZC3Gn3JT7NWFcdMbwZ57HdrNUu-L-Zz%2F42c%2F_WBLUzqHQW2DWE7sPqeatg%2Fh18%2FbsH-W8SAEkPbLirhm90bEluh4RfHyNMksXQn2HXOGQM&amp;data=05%7C02%7C%7C3895aa4839e94f9ef30208dc03111ceb%7C84df9e7fe9f640afb435aaaaaaaaaaaa%7C1%7C0%7C638388619287900547%7CUnknown%7CTWFpbGZsb3d8eyJWIjoiMC4wLjAwMDAiLCJQIjoiV2luMzIiLCJBTiI6Ik1haWwiLCJXVCI6Mn0%3D%7C3000%7C%7C%7C&amp;sdata=jnXlR4EwsraD8%2BDtYQEcpbO2n%2F189BTApHBRk4VqliQ%3D&amp;reserved=0" xr:uid="{E00C0990-8435-47AE-8E03-C06A908607A8}"/>
    <hyperlink ref="A437" r:id="rId213" display="https://na01.safelinks.protection.outlook.com/?url=https%3A%2F%2Flink.mail.beehiiv.com%2Fss%2Fc%2FAFHHY18NT0_ddKuYrElMRsC79YZhD8WlzUuZ-GDa7Bm_FH2FiBlkyRkyiTOhR2h67OsK33_ecFYVsW9YymEW3_w1fZZFoPwhC8z3_zgvwc9-Y78OV9BRBeDaQr64alOguCmWnh1PX2BzE_6IV3Z-0FHaXemACHm_ZKvKVqdKArAGZOosuz38mNO8rPc1Nb-9%2F42c%2F_WBLUzqHQW2DWE7sPqeatg%2Fh16%2FT5csxwASQoSYcyZu7X_KHEvfs0YU3GW9lZE8M-Nt3Ow&amp;data=05%7C02%7C%7C3895aa4839e94f9ef30208dc03111ceb%7C84df9e7fe9f640afb435aaaaaaaaaaaa%7C1%7C0%7C638388619287744292%7CUnknown%7CTWFpbGZsb3d8eyJWIjoiMC4wLjAwMDAiLCJQIjoiV2luMzIiLCJBTiI6Ik1haWwiLCJXVCI6Mn0%3D%7C3000%7C%7C%7C&amp;sdata=i54DCTe%2FLCnK973Uo8uJiSpU6yE9CNNSXgunFWYEkg4%3D&amp;reserved=0" xr:uid="{1CF15D2D-7C31-4C91-AC3C-1CD17CAB3B04}"/>
    <hyperlink ref="A258" r:id="rId214" display="https://link.mail.beehiiv.com/ss/c/kTklpAxml3EW3RaiF8_gQo1traclj0rerTN1GGQgHToh6onQWkfDzAfbLpvApOP4G-JxFSzSSY66hBJ5VmMf3LbQ_HrSnnaCy9kiaODN4HcDlD-UzAyyv_EkuYM3VHD35ZBvywlDeYrkhHfKfZ9swyFotfIYJB_rpeivsOknFqvRgrXfDsZVxulqVAKqYd11Hn0SjN30WceLs66-r-PNmfihjMUEu74aRvArxBtjyf_ckPWyc84jg28c5OS5ndah/42i/j5yR117ZR1WBEiOGjECApA/h13/2Ljyv2BXV_sr-oN-ZljbTikyBemBxLobI7QWGn1lD-c" xr:uid="{4C510BD5-4890-4366-B021-BB520347BB94}"/>
    <hyperlink ref="A310" r:id="rId215" display="https://link.mail.beehiiv.com/ss/c/AFHHY18NT0_ddKuYrElMRshJvtRpySVckI6L020m7U5x6iti2djVotoNfbdMEcNtVT0VcV9yviqXz0pSuE1xZP-tjTKpIkJQKpLHxVZh22HLolufNR2ll8ZgCLu3QTUtVD-r3wx_f__k2bxt5W6xGhJrQVJoxU-b67JxdDZhFAwwGxHG0YKe4uDFmRRboksGOQH4OHmAaLtt65OdKMWiKka02AS9JEPnDclf45APY0xbyNfQYl_ZLk11TCfV-ecW/42i/j5yR117ZR1WBEiOGjECApA/h12/xF2N2JacZezpBxFvWaRBRGaaxg9fIBd9hkDhEGkBRf8" xr:uid="{8CB33608-37B3-4D36-A3F5-922ED3DC733E}"/>
    <hyperlink ref="A366" r:id="rId216" display="https://link.mail.beehiiv.com/ss/c/jMFTGBN48XY1wUMNWd3dQEmwVWgz4Llas26eQ3GOge9nMC0ZY7JG8iuBBOr_5qtUNEhkFcbZrWc1jQlGQ3M8HOfoyc6Xqo3DZFI4-o-6NoFhsfJ41gm65TcGbEu5H350AcyppHYsr7w08rSDl8YQVaq5V5-PQTpxeYRq4bE_iCaf_KQc3r53WnPIC_pjm40Y9a9w2k6bE5G3J1OAoJGaB-cyV2CaSzPoc8ALTltUcGjUhmTiAzIoxTm3HFMYAE04/42i/j5yR117ZR1WBEiOGjECApA/h9/3BA8_moIxHTBl-LsweYdjv5CkDGp6uY12Qm03bk6vDA" xr:uid="{CC4F36B5-3E3D-4612-86C9-91597C7B1ABA}"/>
    <hyperlink ref="A143" r:id="rId217" display="https://link.mail.beehiiv.com/ss/c/2AzrNw8_0McR5ZHRioFSTrfWDFJC6G_klBO8EbxVqI8N-tY3He86025WlwrnQ0D1lS61mcm2NF09rmDoHUKzcTuXMe7pqZJ-pELm_5XphATsnQYJn3fTzYXX2AAgRXBBTyxZg2V1C_X3ZoEXPjsUXHuS09JWwyhCNmLTRm4EA2AY7OqxvMIqA8CoiS1rvMJX/42j/zCbDb32ySbSS13cvqNaY0w/h7/P81o8Ens5XilcUrYQNs9sOLqX79-fuczdJ0HgCgNwr0" xr:uid="{1207B287-4752-423E-B0F2-E21509CD5D57}"/>
    <hyperlink ref="A333" r:id="rId218" display="https://link.mail.beehiiv.com/ss/c/POWe797IScGqQ9xtiHvVyITpz1X-DjuhqyBleB1i9h3CVKXWuebxSTku4Y5h_Y2eTw-BdtsAGe7mMylPiXXckwC1PofWbMj8QetAz8NHvuoGYe47TQxvyM3V7g026WRgcNXOhP5FCmUjcUAztyGw5s3vtm0qUT8m6vWRlaLiQFo/42n/9aXz3kL9RF6U874vSWwJ_w/h18/CedtS7Lp9JzW46zQPKN4618BFBLH0aFRu-MWZrL50v4" xr:uid="{2F6235D6-467D-47BD-B589-1AC4A7F21C18}"/>
    <hyperlink ref="A243" r:id="rId219" display="https://link.mail.beehiiv.com/ss/c/AFHHY18NT0_ddKuYrElMRsJtcG6vthVUvFbFXYJPl4kp85HW4hQLhA4569VE9HU9u3dEVGds818dK607x2sD0h1pLn_hq_6JoXgTyW6qDJbIep853v_tJ1NqUya_IQXDrnnxIaPtteDcAOBdl7_vIwD1RY1icksV6bb0zGcYLCZfPGKmane6EYEpsKE70MXx/42n/9aXz3kL9RF6U874vSWwJ_w/h15/wD74MHCN-NCjLGhepntWWaPFi8Wj9WXyDStm8xXHEoI" xr:uid="{E0E2C94E-55B6-45A2-A274-9421390A0BFA}"/>
    <hyperlink ref="A257" r:id="rId220" display="https://link.mail.beehiiv.com/ss/c/AFHHY18NT0_ddKuYrElMRvK8CCJYonBYZY-oLgHs1MEe5ClFDId2JlzXwRZ_7eLp3GnKlFs-DiY20Kx0dEl8qAZeD3kqRUhuP5TzjY_-9FChN629X6_RQ6ZQ8txQ36dFQLYiY5IcXa9__0mWRI3gnz3AloTrCpscLwCDx3iY4MU/42n/9aXz3kL9RF6U874vSWwJ_w/h14/NSSK_g4JOnEpXi8atu3TRCd40mHB2VoHA-HSOi2n3bM" xr:uid="{670099A7-C4E6-4366-956C-D366319A7D18}"/>
    <hyperlink ref="A438" r:id="rId221" display="https://link.mail.beehiiv.com/ss/c/z0X5DY489zjmVLlFQopoHSk8p9OUneEIE4JABp4j8kifdHQuMwaSJir984pJLsOtQNJgSPMNCNkc53r3hIlu5l_O9anCtJzX0Q3WplekcnsBbggT-RiFTfVf2gXW-l4Y59ie-80JqXIF5fr75u-TwGIRQdaOh_T1zFwBrB6R0-kEZttKFANJJ60GfxaszVUBLPNHQ7ciTIGAwoo5Oa4K7w/42o/Cyadq-2ySeygr9jbdj1HBA/h23/R5KAQH_jxGh3mdZaYEPzaachmK7V7fwXozBEdLqorG4" xr:uid="{EB16BDB4-38F0-408B-9C12-77414E8FB1C8}"/>
    <hyperlink ref="A45" r:id="rId222" display="https://link.mail.beehiiv.com/ss/c/AFHHY18NT0_ddKuYrElMRs05rr-SCUDWfEdQMtKWsEmHN5vjGwQEQrot_Vem-QwVWIssxdOmLbSvglPNWdSwUyGfYmtWkFkf1flt7iXHjRJ_BX-XYEkidu-CrPXidlMEzNlgpl8cfLZqdWex5A_M4caaYI5OJwswv_9LPcBI0X8-B9X7nniWkroKKsrHDSf3nuKvuUZANxgiojzesMI_MxaCNpu6Ir5z5EYDAqbv5tA/42o/Cyadq-2ySeygr9jbdj1HBA/h19/uG8b-fOtUDbkXthrUsbRBIdQYR2KTCRC1NwHRzjmVz8" xr:uid="{A46EF2EC-D90D-4D5C-8C3F-C3E7878417D0}"/>
    <hyperlink ref="A392" r:id="rId223" display="https://link.mail.beehiiv.com/ss/c/AFHHY18NT0_ddKuYrElMRoj953jP9c1wjfhbwZUuF62ZQKLQCUGpoG1p-MoNVdA3bpvngVwKDkdq265m-7CgZnlrXqov4fGoWL93rriOK77Qf8yDcixD72ZT9P6DtnpYIWQjz84Yi1f5aJxNsEJqhjkhX3ZtNYutywDqNOU7rCWE1emd3FLar4F8IF6UMh0dkRqr1FpgXP_m3sqeZGX64IVh5DvJdrW7cfadsrf8YMQ/42p/JkpIHFtGTxqXEK5AwNbd_Q/h17/so_o6RorAxrBA3JPCwrfZtj40yVhsYC05ORu4rRXoyI" xr:uid="{C779F5D6-04E8-4787-84B6-FE513B908143}"/>
    <hyperlink ref="A76" r:id="rId224" display="https://link.mail.beehiiv.com/ss/c/AFHHY18NT0_ddKuYrElMRquJXD5Yrkp6oyQ6yDVP8Nb5-sFGdLaElnBjznwl1sDf_zHZS_B5sIRbIgzmQ2kxVRhgAEp7VZkF6KRGKKKkLOVjQrLC0uxmwKzsgQ2PWd7P53ef9TRqzCq-2q5VppbRIEaxyUkmzgbaLUkoo5TSb9e6el7zJhJ9s2VprlqkMAHx/42q/5ebzjuGYTpeLqWW_4G4DIQ/h11/GJLRNHq1PN5b4IZ2mPMDW9-3VlKsEm28GYiiTlleNrc" xr:uid="{42C05C62-8409-4C56-A86D-934F9AF05851}"/>
    <hyperlink ref="A358" r:id="rId225" display="https://link.mail.beehiiv.com/ss/c/z0X5DY489zjmVLlFQopoHSK8BpMreXDqmrQEkYNeP0QCTh5dSy-AVN5mdIe7LEgisBITB0o7DlTlSb8cqFGEEkpen5BnnJR5hUISwvp0b3vhKPTiI5XY9PnJwVGWTDWQcmXR80fkMCKh1x83P6RHuyEcndTm_3JYWJYWCgFpo1k/42q/5ebzjuGYTpeLqWW_4G4DIQ/h9/VikmTc4CTO4Wi-W1QcoYd6aPkXBe6OWTdQS3bVsFTS0" xr:uid="{1066CCCF-E7AA-4981-9CB9-A76BA9B9A0C0}"/>
    <hyperlink ref="A357" r:id="rId226" display="https://link.mail.beehiiv.com/ss/c/8Y-VoJkoDnX1zI1WLAgXFxz4Gr2Vaw0EpenY7pzFSEjWv0MvwlTQn5tq1DN1R8x9Yv7KBga4byCTi_QQ583SoG3CVMW5DL9T9_XzRLgzsyDtYNM24opocZMxQYgTQAPnWNtnUGirkBjBuQ23DzCWTPzKHaqfKf90zBC4SlehB7Q/42t/BW-dfpFeS66B4-Va138g3w/h15/GWosPWVLrsOoytIXLPd_zjnezqF47rK68-zWNbth6dA" xr:uid="{67D9F789-EB21-4DE0-8AEB-4944DC747333}"/>
    <hyperlink ref="A290" r:id="rId227" display="https://link.mail.beehiiv.com/ss/c/i142ipyW89EI2-TL2DD4FITDBMNRoYFfxy52DHo9f65xGlOPGTY4fPoc8LgKtPCkmEHlkXEefq72xf2Fo0RrSid3rvGJXVGCarGcIrssu8zQSWUvrV4OIpvz7kIPEoICABv1DvifrS-UqFFn6aKsccdb3ryMOIBoaKOHdb7WfXs/42t/BW-dfpFeS66B4-Va138g3w/h14/7jGjTWV_z7LIRUaMRquC6ukJNahVSukeGgNvB7N6qCs" xr:uid="{C2A4D82B-8F13-42EE-B3A7-25B177BC5350}"/>
    <hyperlink ref="A266" r:id="rId228" display="https://link.mail.beehiiv.com/ss/c/AFHHY18NT0_ddKuYrElMRnQJW-EKcCEz4ymb5fMZgFSv-UER-jzP99DkHKFZQBMPMjBgEu66r5Yeec0lG14jbuiAFL3ZLiHdfQCVUS5BI-3Ym6aJrCIUigleMknUvz3X_wyd9xcqJ38FePUNZ6LFqmHSDl-peigzfML7u1QGBDA5kYsjVnOYlp1pgvyhnBwT/42t/BW-dfpFeS66B4-Va138g3w/h11/QkX56i5QEJTHp1UGiVpfKNJpdF-oVnyRooLoJPPBnYA" xr:uid="{E2AAAE0B-282C-42C1-B137-6317B126D0AC}"/>
    <hyperlink ref="A293" r:id="rId229" display="https://link.mail.beehiiv.com/ss/c/UuCNtwnEAMcjpu9jaML3rFj1HHxgG_k45J4VWQwTjIvlgarH9bFsDGq6rFse4sqCGDCsV922A-iDRwrSyPC4Tx0l8kKb2fufDKuprxlAu8YQcBn1zM6PeTtc7zCAqXSp-GyiUvyf6nRQ8R6c1qAO-gNXhFQ3YlQoN8AQB2xralA/42t/BW-dfpFeS66B4-Va138g3w/h10/FwA2S5isSvjUOA9gWYnfpW343muj1_WflWbYKKlwTws" xr:uid="{2FBEBE00-5EE4-4174-9797-7F94683A6D94}"/>
    <hyperlink ref="A434" r:id="rId230" display="https://link.mail.beehiiv.com/ss/c/2AzrNw8_0McR5ZHRioFSTtKIpjrFScq6eD5XHWikGfQj4AL1se-DNDaJovAkGIR1-JfAkPk9bJB2siNoNm7wjTa_SG93EpR0EIvnk2OcTafMmH5WSTwgMbuYJKJbY-ulVoxFaHiKyj57xLudhLdlBN_PjZ8qiGCdQhZMpONNZfjNK1k9snoeBAGDAzlpRhD4/42u/7ijIU-6iRHWmiXPyYZP5TQ/h14/0kkRoOPQApn6XQuy-JwvFh4ukua6gzeTPR7_CJASwtk" xr:uid="{C1EFD257-FC82-4309-A4F5-7B653CA39FE0}"/>
    <hyperlink ref="A242" r:id="rId231" display="https://link.mail.beehiiv.com/ss/c/oPK9TvOEo1ZeXdOJwVOhadJZ6-Ayj_6uEwA9O2VUieUL-ICKR8RnZcPsmXUhYRISxCGkMpSieDLrG8zstWkQGblUfHaPYCT6z0a5TRxl893aJY6wuEBfsVROzWS9hielorJBcYVI7BrNyH430XJJ5Rqch-5DLf7SJN6tK3JiA7v8t7_QRK7E_llLDJ_JsMsW/42u/7ijIU-6iRHWmiXPyYZP5TQ/h10/jxvUTZqT10kSeSW8nrPIdCtsV3CFgadAa8XMX2hK0O8" xr:uid="{01484F65-BCBE-4C36-BDF0-8B36E833F6E9}"/>
    <hyperlink ref="A121" r:id="rId232" display="https://link.mail.beehiiv.com/ss/c/AFHHY18NT0_ddKuYrElMRp641fUj79lVhFdcS3Xfvx_29I7AiWjnZ1vONIiA3fTLn-bv_oS9C8TX9lfMlr--0xZ9S7MEhXjGZA5yjLi1RfI7AiqiMp5cEtxFJHLc9B-aGBVaJWoljTV65yeV2U-n3yXiIkodcMtHk_IY1S0Ixs4/42v/nZXr1tPySXKmM7_zwAN6Jw/h14/kRmdJQzJiO8C50bOC9TI5JqH-tkrjk3SdastsLV89CA" xr:uid="{BFF07BD0-5BB9-4A66-94B8-D91A3F9730F0}"/>
    <hyperlink ref="A355" r:id="rId233" display="https://link.mail.beehiiv.com/ss/c/jMFTGBN48XY1wUMNWd3dQHW6lE2mFf0IzgKo8aO34tFZV_OpEv4oH6TQhs4dyd006iMYXEbKb5t_eyUDqXW93jUAZMO56MV8DRvJUgc5eGQEgK707MwVUcO9jnhF0UXAPcEY1_-m0GBMZAcB_raJuEQHLfBYM5rIH5B2WqLUOLU/42w/f1oAezbGRg-h6mWpOtN6Kg/h10/CfhaaIj2ieMeLJwTWCfZc0AsSf88tb_BPr-DQnnWuoM" xr:uid="{233BCB9F-BE0A-41B2-B5B0-434464BCE577}"/>
    <hyperlink ref="A167" r:id="rId234" display="https://link.mail.beehiiv.com/ss/c/AFHHY18NT0_ddKuYrElMRuvIhyuq6vkUltbdNjaYkxmTwoSPL60Ldw7Am9ssMAnbg9AZgzwxhaqq0bDsowxBi6_-M6oBefTgBPiGrCRBXfb5TMpUVVfd4YXLS8TH5TBTDkaHNiQCqOF9gCFuL-Nys9se3Wsd0CEzB5OT73bPAu4/42x/ugknEuMqS_-W8W1KV-PmbQ/h19/cy_J3pUiAmiYuzzCW5R_zoqlAKoiPkDoJ0q_uOvSKpw" xr:uid="{A93B3E9C-5ECC-4522-B78D-250F74CEDDDA}"/>
    <hyperlink ref="A249" r:id="rId235" display="https://link.mail.beehiiv.com/ss/c/AFHHY18NT0_ddKuYrElMRrUIsiuCHZ13uTl887Vz8bz5H7q-aYrOg374wdV37plbWygEDnhhpo-kdW5grRUWfa-m_xiQc-ZoxU6EwsUBdYRSpqAg6zbgl1iMHM9Wy76rGl1c759lhrpHgkEfzo2_-k8Xnzx00QOYSe3hkvaqF-mAslTSZxN9-T68KZ5s0Xt5/430/QYqyBXEUQLScFHRqIGvV6A/h16/TpUFxzg9vy_vmQJYnPJRnG854_Ssi0jxnzT9mSqmkE8" xr:uid="{EC5BC092-159C-442D-B78C-7B2502F74BAE}"/>
    <hyperlink ref="A319" r:id="rId236" display="https://link.mail.beehiiv.com/ss/c/oPK9TvOEo1ZeXdOJwVOhaR6saoSHFpOB1gozs77ItUL8kKq_5LTCA1SJZ5fuG54Mt9L121voFcYJsH_jvWtt3l36V_yQiw3ZxEIGKYG888zBvp0AeDQvPmdp8tGkouGpl1KTi01GtERkZrVYcpMgDXBSf9IVr3NmITPo34C8We8AdzT8s29YXWAyy2KyJvnb/430/QYqyBXEUQLScFHRqIGvV6A/h15/xk-lqHJv9Cg6k1Uhw0QRZDfx9nfiRI3LctxrdM_YEVQ" xr:uid="{AE6F5AE1-CBC5-4707-A1AA-873B088F1844}"/>
    <hyperlink ref="A403" r:id="rId237" display="https://link.mail.beehiiv.com/ss/c/i142ipyW89EI2-TL2DD4FCmQI5N0zU5Ck4au3PAkucnbg7PuHp7zo9_KWWRRyYNH98-IK7_y1klWPbikgIa-5AvrQRiQQnfFcjxQb4RVnYKy6MJaXaYEF_m5carxhaE7sSuyr8BPDjZzCur7LRtjbio7KrI2Yju1QJQToHrvUZrGbYeS7PNPzHcIW8NFCHKp/430/QYqyBXEUQLScFHRqIGvV6A/h12/q3SIgtNZ0owOU6F-Q_JDzbMkvTf7AQBRuklkBLO2LRo" xr:uid="{CA871437-0245-4361-A7AB-DFACD3C73BCF}"/>
    <hyperlink ref="A456" r:id="rId238" display="https://link.mail.beehiiv.com/ss/c/-72w8iesgkP33vyeWj1Mx1PMDtLo2mPZpfPdCkIzcMLFzMqaKpJdKX1Jr_CejCIbe5KXI7xwSdo1MkqLIskeiTfE-Zxm1gLpUFna5VGjyCW1U9eqWecXDm6a1PiZqZ1AKiugTjhR7k3pQbaQrYQ-GXlizxNkL9xsX7pFZWIemJABDLjeyCuzHK62Zhmj-oHo/430/QYqyBXEUQLScFHRqIGvV6A/h11/Av8tlREodwVNYUfaznu16fKqBrfL4Jx0ZqXWaYuvLNM" xr:uid="{9C73E2DD-C44C-4EA0-A219-4BCAA4BAA579}"/>
    <hyperlink ref="A393" r:id="rId239" display="https://link.mail.beehiiv.com/ss/c/AFHHY18NT0_ddKuYrElMRoW2KOggb2m0Obgwk3LyheUesaHyqhP-TPuvb2arl2UB0y22lCfTHYeqlzYqi5FMLKUJCO0C2wHEfcIl71fVxHqY2HoEQC2iQiUjl1d2EtSgsvSovOeMTVGpUlEgVI0pecB4jfpcvbQJTNqT5Qj2NWju7n5Lblq9CI-B9hN2Q__C/432/uYDT4K0OT3-IxStQIaXqyA/h13/Hl9aSIeaavoWDHKB_htEJU2d0519Ke4D5WaT6BiCcyg" xr:uid="{AF90D19B-C4D0-44BD-AB33-65AF821CA1F7}"/>
    <hyperlink ref="A356" r:id="rId240" display="https://link.mail.beehiiv.com/ss/c/AFHHY18NT0_ddKuYrElMRtVGLL4MtLojcsV1Uoc_SlNpTBo7HDdLAE_YPXpx0tVY-RP0bzGH_oqhqQrUXWrtxRhnE0b07_T9E28Mr3I6IKFPn4DeJNijeBSuwt8JaeFYsMziUL0f_SU82V9H5qD_N7DtwHpPkup2X-RBp5YfoGI/432/uYDT4K0OT3-IxStQIaXqyA/h11/hQP9PaIzEGn0tEnXtd6x5CbueappVRiVADsEEH6JKVE" xr:uid="{7A90AFEB-DCE2-45A7-B7F7-94BF84AFE266}"/>
    <hyperlink ref="A455" r:id="rId241" display="https://link.mail.beehiiv.com/ss/c/AFHHY18NT0_ddKuYrElMRu8LnxRRd89gW_0tZvKYC7BAxAo0dcm3wSO1GPIWCxQFM1R37BIrXVkmoTm9xyj5qa2eLbsVUPcHSzWofgdn_i1ylMj-lGwgRUf-VeT25wyVO1LLKzfAkWQ9NPjfmeYC_ytgJxw1-CTgb7VFTRIi5xOS11H8OckRCpQNBgfcAzz6ZylWEz3BDBHHU8iLerGctA/433/7TY_PSLvRgWzYPJETFX2uA/h11/c4T6w1IrJkFd00bQK_Ndcxu71DFthJOQe3ofd6-JBj8" xr:uid="{69CDE4F8-5C3A-46FE-B5EF-720C473A5729}"/>
    <hyperlink ref="A306" r:id="rId242" display="https://link.mail.beehiiv.com/ss/c/AFHHY18NT0_ddKuYrElMRrDCWAOBcwxjJ9SA7fcM3CdM3MexOWmxfxPUjFYAP-uV3EU22VC7Dovrcsk6W4XvT1ob_4P8Y_DDMWIMsCdkfNoDnsT85o4RsixEqbxoQg1kHvBxWMrG-yaGv8UxCWbn8NnnfhsQ5yY_K_IJIC6Ptp1SccnYRu2mnlHrPAuPUmXn4EEjMLhl_mfV5PtjhcJuVg/433/7TY_PSLvRgWzYPJETFX2uA/h10/8yHsqSuoiVGO_o36mVpdfle6X6IFt0u6CdZ2l1-IJ2c" xr:uid="{B33F04EA-8F25-414A-8810-64E9C3373132}"/>
    <hyperlink ref="A140" r:id="rId243" display="https://na01.safelinks.protection.outlook.com/?url=https%3A%2F%2Flink.mail.beehiiv.com%2Fss%2Fc%2FAFHHY18NT0_ddKuYrElMRkCfZdsSdKlC-w9f0RNAublDr1WQJK3vBtFx9YZHQucEOg91Mle8nyadJgImIoFz6Bx6aC1Tr_UvI1jcDrhX10vc4-KesO1Kf2ZkpURXiT4adCmZ__EVnVx6THFXb8V1Org4nZ0Cq_qcwKF4j-QmZFi0vui8ELbKqqEgKbIpyLdWu9HyaNW8edBig4xXeVQcOwEN_GO6Mq8XDvAO-yUs8bs%2F437%2F4vbfGtooTOG-XpTsrdoYDw%2Fh17%2F0oGAoGdKRZdO8YLNA5venZWmdU8QZWBr3ftruLybH94&amp;data=05%7C02%7C%7C86c4e1f9c72b4f721b0308dc1b6c231b%7C84df9e7fe9f640afb435aaaaaaaaaaaa%7C1%7C0%7C638415398499300788%7CUnknown%7CTWFpbGZsb3d8eyJWIjoiMC4wLjAwMDAiLCJQIjoiV2luMzIiLCJBTiI6Ik1haWwiLCJXVCI6Mn0%3D%7C3000%7C%7C%7C&amp;sdata=%2FmR4P6ptE5fv9RpQVaUcocqoqsMq3CQsPklyAxqPi3M%3D&amp;reserved=0" xr:uid="{D371744A-B976-47C1-AD93-20B47A3D1724}"/>
    <hyperlink ref="A426" r:id="rId244" display="https://na01.safelinks.protection.outlook.com/?url=https%3A%2F%2Flink.mail.beehiiv.com%2Fss%2Fc%2FKZgkyqbE_I-VHvNb_lZxb3JopcjDZmlXA44GDXZgLDoZH49-uhRb924i1CrrRnHrP69XodyeJp58AgTGzYMLh-TV9YcGSdWptkRhIAAYesOePPkf-73j2nQTNVVN0Bn4UefFMsMDfrDnVwut3EsII14V_oZD3-Rw3dSw-286aA-LCSthQEDf7C7QI7CM-uB9_9Dx9rrBA79msW0Qe14ROQ%2F437%2F4vbfGtooTOG-XpTsrdoYDw%2Fh16%2Fz3Jp_f-d9B0hZl0HWxyLdyfdu6q6Ucy5IqBQOZ3e4Yg&amp;data=05%7C02%7C%7C86c4e1f9c72b4f721b0308dc1b6c231b%7C84df9e7fe9f640afb435aaaaaaaaaaaa%7C1%7C0%7C638415398499293781%7CUnknown%7CTWFpbGZsb3d8eyJWIjoiMC4wLjAwMDAiLCJQIjoiV2luMzIiLCJBTiI6Ik1haWwiLCJXVCI6Mn0%3D%7C3000%7C%7C%7C&amp;sdata=RpFu71Z3YXzBgC9%2F7awWNHaA1QXTQAffRh2buRdvZ9s%3D&amp;reserved=0" xr:uid="{679E5586-A176-475F-AF97-C7DA5FB6D989}"/>
    <hyperlink ref="A154" r:id="rId245" display="https://na01.safelinks.protection.outlook.com/?url=https%3A%2F%2Flink.mail.beehiiv.com%2Fss%2Fc%2F0wlcaBm-wAGbfh-p66fdvDKBIuY8CnjYepRcJ4H-MybK3EPU3JtB8qzCE1e5TCrZDXR0kOhc9VDSAs1yFr2e5HTbgX_RdINml3hY4gKoLY0X1tKVKk3X-CmRe2drdCQEI1_k2Gf8_UfUElSONKj-bXa7EBxbpr1CFecVjxWXTcoT90xC9lEktcF09BawBFOuqJ0NY9FfuN0IHdBPz6QcEyjL2mVHfTE6j-j2X-O5i0w%2F438%2FZBlGr5r-QrKKyDaAJsM9-w%2Fh7%2FExjkmsjVZO-r7Ed1AG5-P1IQ3xs9YkI-s_mw0RKBQ1w&amp;data=05%7C02%7C%7C77deb5ee2ccf4c319ccd08dc1c35f0ad%7C84df9e7fe9f640afb435aaaaaaaaaaaa%7C1%7C0%7C638416265236664230%7CUnknown%7CTWFpbGZsb3d8eyJWIjoiMC4wLjAwMDAiLCJQIjoiV2luMzIiLCJBTiI6Ik1haWwiLCJXVCI6Mn0%3D%7C3000%7C%7C%7C&amp;sdata=jyswEsUbdhf0b8fgvUcmtdPx%2BQ6lwYEKNzMTDuhNPUk%3D&amp;reserved=0" xr:uid="{56F61E26-C816-46E2-A7F7-1CBBCF613695}"/>
    <hyperlink ref="A282" r:id="rId246" display="https://na01.safelinks.protection.outlook.com/?url=https%3A%2F%2Flink.mail.beehiiv.com%2Fss%2Fc%2FAFHHY18NT0_ddKuYrElMRrox_2iSPZPcSBD35rhAskh4L91CnyPUG6MWJ1wcfsv242t0KzACrpCXDzyYhq2omUuQim8HceicljYOD2ti1aIPx-AtTmAEcew_crJKswx99ATCeR4GCgGakpNd30M5FH1aTR7Pgdz3DWWF15CfYPCFl25dOLbf07TO9BC6O1XKaOkB1pOFhD_IHrOayV-0UJGyYNZdxTMZjdc6XLYfQ_8%2F438%2FZBlGr5r-QrKKyDaAJsM9-w%2Fh6%2FZj-62_In0dsSw14YwWrZEUeLSakU0G83hc0GuS0vpW4&amp;data=05%7C02%7C%7C77deb5ee2ccf4c319ccd08dc1c35f0ad%7C84df9e7fe9f640afb435aaaaaaaaaaaa%7C1%7C0%7C638416265236649678%7CUnknown%7CTWFpbGZsb3d8eyJWIjoiMC4wLjAwMDAiLCJQIjoiV2luMzIiLCJBTiI6Ik1haWwiLCJXVCI6Mn0%3D%7C3000%7C%7C%7C&amp;sdata=nTV3ZIJOJQULYthfHpUKNQl4henppfDTcNgYGK9DShM%3D&amp;reserved=0" xr:uid="{83C8339A-17B6-423D-B6AB-BCA69EE2A9AD}"/>
    <hyperlink ref="A354" r:id="rId247" display="https://na01.safelinks.protection.outlook.com/?url=https%3A%2F%2Flink.mail.beehiiv.com%2Fss%2Fc%2Fz0X5DY489zjmVLlFQopoHe88qq3U0oDsIB3enXZ2kbFEDWTWrVsCgD9cWP_yUV4akBkNwTRsGK8bsrYW6jqaZmQrh5kfuvgLcOUOMpBqk8UPDZXQPVyjEetpYGicNUajb7YAULf60GQDpgKUIz2pHesc-uGtVacNCBNWDjGE52o%2F439%2F7NNvPY5YTHue3LuSHhrglA%2Fh7%2FI7tXa7Dc1S5XaL1gKqkft5JTDATj8B8wUESWeuHtpzY&amp;data=05%7C02%7C%7C52be88a3112842a8554d08dc1d004951%7C84df9e7fe9f640afb435aaaaaaaaaaaa%7C1%7C0%7C638417134291853874%7CUnknown%7CTWFpbGZsb3d8eyJWIjoiMC4wLjAwMDAiLCJQIjoiV2luMzIiLCJBTiI6Ik1haWwiLCJXVCI6Mn0%3D%7C3000%7C%7C%7C&amp;sdata=BR5Fn1WBmVG7YpTUP0A33dLUlplNPM2k4dUaxoAfBEI%3D&amp;reserved=0" xr:uid="{3DF918E6-93AF-435A-BE8A-861735209E4A}"/>
    <hyperlink ref="A256" r:id="rId248" display="https://na01.safelinks.protection.outlook.com/?url=https%3A%2F%2Flink.mail.beehiiv.com%2Fss%2Fc%2FjMFTGBN48XY1wUMNWd3dQP-aOTYs0o6Qj_Zubv4ywCZ_ky9kpLIWpxajLxZzrb3c60M2pgYkhUqMomoJy83Q8KrlBcIZmf5wChThms0zT6Ox9DJzwZZkX774i_9DRjxMLc9NVHsh_AxQN-pDxl1-AA0AvAbuBtDkjS5kQkYR8bfsx6rjCZtDNmMi-kgc4BM9xGHABfD52PVevJvI9D9ItgZh57iCAA8KeldpXE8Xlk0%2F43a%2FSBfqDQ9KRHyV3CrIWyfZYw%2Fh13%2FcT3tja5ymvau4l9mTkJnGXMANBCxseX_Gt4f1rwoqN4&amp;data=05%7C02%7C%7C8d8691662dc44d4fd3db08dc1dc8630d%7C84df9e7fe9f640afb435aaaaaaaaaaaa%7C1%7C0%7C638417993786678879%7CUnknown%7CTWFpbGZsb3d8eyJWIjoiMC4wLjAwMDAiLCJQIjoiV2luMzIiLCJBTiI6Ik1haWwiLCJXVCI6Mn0%3D%7C3000%7C%7C%7C&amp;sdata=KkBhtdQWTSHJesIhiKy8z%2BfnU34as4AYPl81phUTCH4%3D&amp;reserved=0" xr:uid="{1E3F34ED-789E-4AC1-88D8-2A2A241E1E86}"/>
    <hyperlink ref="A442" r:id="rId249" display="https://na01.safelinks.protection.outlook.com/?url=https%3A%2F%2Flink.mail.beehiiv.com%2Fss%2Fc%2FAFHHY18NT0_ddKuYrElMRtYmlG9MpYfViVkvPghxwQXRVSXA0QX5uBzSuQOPqSSOzFUAqc4w2z2bDHez1G34pUsU4WHgw_xij8P60JQibbVmgHiye10WGhR3J7EqfMO2f2AANhf_McqlFKB5Tr-ECgSBw4sP580vF94u_nB0inz_Ltl1ih00DdNOqyGSU7Dr%2F43b%2Fg-mITXHHSLuvA4Zs9JyXYQ%2Fh11%2FODVGz3KvTeXI4xLGBRpwcneFjIB_kB9LdW5La6y_efY&amp;data=05%7C02%7C%7C45409b8562984e3a1b0308dc1e918710%7C84df9e7fe9f640afb435aaaaaaaaaaaa%7C1%7C0%7C638418857628349429%7CUnknown%7CTWFpbGZsb3d8eyJWIjoiMC4wLjAwMDAiLCJQIjoiV2luMzIiLCJBTiI6Ik1haWwiLCJXVCI6Mn0%3D%7C3000%7C%7C%7C&amp;sdata=cd7IhhQuw7AtKrWuBkDPyu1VqNvC%2FRsYxY3tp1e6%2B0U%3D&amp;reserved=0" xr:uid="{B406A528-64B9-49B2-9408-59E0B09AFFF2}"/>
    <hyperlink ref="A283" r:id="rId250" display="https://na01.safelinks.protection.outlook.com/?url=https%3A%2F%2Flink.mail.beehiiv.com%2Fss%2Fc%2FAFHHY18NT0_ddKuYrElMRjx7X7PQfg8tdv6BwGfB2nMQsADE-O1-vuFK7wO-s4WOM-ZuYsWRgkPdHTuVQFEzGvxs8iTQMJRvDfPDfCiqpbFc9LdE-hy1HcOwLDTd_HRH-6b0gXA6Kd-u0tQEVLEx4QuA5x0OsfnjKxET6WFaiBUJBLcMC6xz4VRNP1SXv0KvEUqsPC4XqgGIo5l4R55U4qWjoqggY6NXFV4D1-9oeew%2F43f%2F0r2Q4BaqRmmQYVN_S21GIA%2Fh9%2FiWQpa6I08Wl0fmEWV-qtNyLx2X43CNIAFtW7CYQbuwM&amp;data=05%7C02%7C%7C6d9e3a4340a14913bf8108dc21c991b9%7C84df9e7fe9f640afb435aaaaaaaaaaaa%7C1%7C0%7C638422396844138731%7CUnknown%7CTWFpbGZsb3d8eyJWIjoiMC4wLjAwMDAiLCJQIjoiV2luMzIiLCJBTiI6Ik1haWwiLCJXVCI6Mn0%3D%7C0%7C%7C%7C&amp;sdata=NLD7bKdZHbCRNM1NhAPfxDV4GhhUGIfC52QEqo00YdU%3D&amp;reserved=0" xr:uid="{519B4E2C-0D02-4F3E-9FCD-A0C991B46E6E}"/>
    <hyperlink ref="A423" r:id="rId251" display="https://na01.safelinks.protection.outlook.com/?url=https%3A%2F%2Flink.mail.beehiiv.com%2Fss%2Fc%2F8iXKAwwMM1W-cI7L7LOvGm86cAYCrhM4Em6VgOvqfCh9B9mK_JMcq109RTpMSu1J8bAmWcdCDGt8Q_Suhu5iUTT1dyu1XqjBQgP6zdY2BbPvmeOAl8D4BmPuX0sTevuzNQILrthXJOeZZRzrp46RpJwE9yOnzv0lSOQGP-iuphBQQvrq82fe8GZEVrj3tcMQwIL9ZO9ahmkhBKUBbc_tOg%2F43g%2FQcjk83mMQvO9rrwO7Q77Sg%2Fh8%2FRdmfGzIiEslUMYsqQxGREOJBXklCMlb2gVLoqS2o5lc&amp;data=05%7C02%7C%7C10d9f89712e243b44f0908dc2283399d%7C84df9e7fe9f640afb435aaaaaaaaaaaa%7C1%7C0%7C638423194224369764%7CUnknown%7CTWFpbGZsb3d8eyJWIjoiMC4wLjAwMDAiLCJQIjoiV2luMzIiLCJBTiI6Ik1haWwiLCJXVCI6Mn0%3D%7C0%7C%7C%7C&amp;sdata=NfUzaJdwGXaGb%2BZ7VWCUyM5tODVRwJPTprEuwBvq7aA%3D&amp;reserved=0" xr:uid="{4747955F-C8F7-41FC-AF54-2486A9FF0624}"/>
    <hyperlink ref="A346" r:id="rId252" display="https://na01.safelinks.protection.outlook.com/?url=https%3A%2F%2Flink.mail.beehiiv.com%2Fss%2Fc%2FkTklpAxml3EW3RaiF8_gQpHGYbTDdrsdzDTusU2mfLfFQ7DU-i97HrGSG3OIK7UlY9HdP6CuZStIES_LnTLFq-3hyIK78LX9p_se9AflM11tYt4V2Z-dh-Xk_QtjjPHbNdZqxdhj5Ev4O54TIe5ljNTkTzHg88n7BbXCXXfxFcDb-aLiTDkcSYf1kbcaehkjeONSyzFOWz7EpMKZJI90-mxM0aaE0oGBI_OMR0gZt9PAxc7j6qJMSJ6Jm_GAbxrG%2F43h%2F7OxjGHLcTgywXbs0oXNXLQ%2Fh8%2FVJhI75ugCFC_RclJ7Zcx84QFlmjsh_QRq7KX1-d-t00&amp;data=05%7C02%7C%7C92b5a0b457a44f6603dd08dc23488154%7C84df9e7fe9f640afb435aaaaaaaaaaaa%7C1%7C0%7C638424041549939165%7CUnknown%7CTWFpbGZsb3d8eyJWIjoiMC4wLjAwMDAiLCJQIjoiV2luMzIiLCJBTiI6Ik1haWwiLCJXVCI6Mn0%3D%7C0%7C%7C%7C&amp;sdata=WJWt7lCpqnrTPfPJdOxrxwjGnQ0XP1IGbNP0qxKIiRM%3D&amp;reserved=0" xr:uid="{5B9DC387-B932-42BE-AF30-F30E38B31B78}"/>
    <hyperlink ref="A120" r:id="rId253" display="https://na01.safelinks.protection.outlook.com/?url=https%3A%2F%2Flink.mail.beehiiv.com%2Fss%2Fc%2FyAczCiX-iyAkwj0X9QHq0rRIoFogGyOiDxZc05J1JJDgOMvjAKl6W_hcpUM9ZWDL1GDFetsxEo9PRBAMJ_5tzWZxxeKX4rZ5BAHD5eRpLjJ2Ji25l-S8OMV3p2dRPEaZ3fVwUcAPmp-2McgFUTKTnbjnWjouzAe4_e3WjS_ZjBJSdvz7uL167rKH0pqn8_4wV9_aYJciApdItaOXI8UhNqU7glCZZ5RF-KImQmKfQLPcGgiFBbWzQNEKZ_mg7jdb%2F43h%2F7OxjGHLcTgywXbs0oXNXLQ%2Fh6%2FG3lOq3XPvzkgPOp8RDcvMRFo_hK1I6qnep6S8weU2QU&amp;data=05%7C02%7C%7C92b5a0b457a44f6603dd08dc23488154%7C84df9e7fe9f640afb435aaaaaaaaaaaa%7C1%7C0%7C638424041549909518%7CUnknown%7CTWFpbGZsb3d8eyJWIjoiMC4wLjAwMDAiLCJQIjoiV2luMzIiLCJBTiI6Ik1haWwiLCJXVCI6Mn0%3D%7C0%7C%7C%7C&amp;sdata=7j2ZPdHyYJG7MY6Iuxdysr%2FRxHJDv6BP4PHryR7zW%2FM%3D&amp;reserved=0" xr:uid="{A559F240-C077-4E42-A07E-514FE996ECD4}"/>
    <hyperlink ref="A71" r:id="rId254" display="https://na01.safelinks.protection.outlook.com/?url=https%3A%2F%2Flink.mail.beehiiv.com%2Fss%2Fc%2FAFHHY18NT0_ddKuYrElMRqQuFD3C-frH95uHYV-FZMefNow6DAqrRbJVv0bcTD2WpksbMJENIU9pm6s7JyBjxT_eedpGuJuKDUaVXtluLfS-iBAAXm-dGjH-JqXPH9CQwZNNZnpbhuwDuP1vEI8iL8cOK-Mh9A1_TTO2ZOcLbPmg3BEJ85Z2NISmirXhzo4BoQe27_dHZqJpYP2ClAmwfQ%2F43i%2FVZXkmRJsSFSMuNveIPAPOg%2Fh4%2FjAk_IFRxE0Ik0jvU2A84WnpBjIncTfIpYMwdUyROqHw&amp;data=05%7C02%7C%7C75ba92a3f6b04a2e5e2c08dc2411b13f%7C84df9e7fe9f640afb435aaaaaaaaaaaa%7C1%7C0%7C638424905646229217%7CUnknown%7CTWFpbGZsb3d8eyJWIjoiMC4wLjAwMDAiLCJQIjoiV2luMzIiLCJBTiI6Ik1haWwiLCJXVCI6Mn0%3D%7C0%7C%7C%7C&amp;sdata=bUP4skNnjo5zAKWCd7o3enEj3nH518kn0ydxQvmZb7g%3D&amp;reserved=0" xr:uid="{B9296F7B-45AB-4864-A1C9-AEC416268E9C}"/>
    <hyperlink ref="A199" r:id="rId255" display="https://na01.safelinks.protection.outlook.com/?url=https%3A%2F%2Flink.mail.beehiiv.com%2Fss%2Fc%2FAFHHY18NT0_ddKuYrElMRkKHllf_JGzD6u4CTVtttfV7wstuvcIGAg67I8DrxCnahheNOVcdrd8aVCSEWW9rPcOaUtO3L_8baiCayJJoTqvGfUkXpdSQAtK7mvLSdNzTXqcL4LwEryeNXIsY_8ItOIrGEuxm1b0PV-2qHCcDm5ySayUHBxGlmmbZAf-h7PmM%2F43m%2FvFXgn5S6T7Sw99TphhHG7Q%2Fh8%2F3X95dg9dXddlvOHG-fty5eTCMuNUZzhmAkxuUk8Gr20&amp;data=05%7C02%7C%7C2468f54dedf74fd6b8bf08dc271ca354%7C84df9e7fe9f640afb435aaaaaaaaaaaa%7C1%7C0%7C638428251196488610%7CUnknown%7CTWFpbGZsb3d8eyJWIjoiMC4wLjAwMDAiLCJQIjoiV2luMzIiLCJBTiI6Ik1haWwiLCJXVCI6Mn0%3D%7C0%7C%7C%7C&amp;sdata=4mNJ6cnJLEflsQOsSqYNgBMwtKYrW9uvFQzA5awCokA%3D&amp;reserved=0" xr:uid="{777CAB97-8A68-4F3D-A503-08356E0ABBBA}"/>
    <hyperlink ref="A326" r:id="rId256" display="https://na01.safelinks.protection.outlook.com/?url=https%3A%2F%2Flink.mail.beehiiv.com%2Fss%2Fc%2FAFHHY18NT0_ddKuYrElMRtF2wWuCzIUzeTYi1WziHqJF1R238DVdpw6KkF-4p6hHXqA8puGcTg5K0cNqjjJO-5g0iPpDcgt5OUOZSCXS_iP9ri1FyPmMZ4LJhgWFCXYg8khLUGwBImGOw5DZzx93hb3cx5Yqu81GH5WxhJMqzJJOPgVuuB61miPhr4ukCq3EDmzOBquh0k3q3gClfrhG1w%2F43n%2FiO-pL6SiSOqAXUwE07J6jg%2Fh10%2F8AzNtabPCdARQlHHADj_VnhJyiiE3org6FRHS6MKAr0&amp;data=05%7C02%7C%7Ccf9a69073011423d7bb908dc280386ca%7C84df9e7fe9f640afb435aaaaaaaaaaaa%7C1%7C0%7C638429242852214768%7CUnknown%7CTWFpbGZsb3d8eyJWIjoiMC4wLjAwMDAiLCJQIjoiV2luMzIiLCJBTiI6Ik1haWwiLCJXVCI6Mn0%3D%7C0%7C%7C%7C&amp;sdata=GXWpH0SanZt071E1A0seNbYO3dHSW2l4PIzecnuhysA%3D&amp;reserved=0" xr:uid="{5A2965D1-27C0-45BE-BA25-3F27860480E0}"/>
    <hyperlink ref="A223" r:id="rId257" display="https://na01.safelinks.protection.outlook.com/?url=https%3A%2F%2Flink.mail.beehiiv.com%2Fss%2Fc%2FAFHHY18NT0_ddKuYrElMRmrcnMgb38BJfRKojett7yoytuQzewiutW615-PLCzFlmeCHyVaju_hHJFfoNywycXfhBkaB-FVDwyFwsDhM7IFi5ilnnfkUoEZJ8qtYT7-wHB5kRi6CRDNWrPOn6BsIKuKKZ6kEmwpLdoJrUU3ZXQsx6BkCmgotmY3k_YiW4VgTtqSt5vFccc2AweoN3XcEsIqnodTZXU8BMxEBGVTEPMU%2F43n%2FiO-pL6SiSOqAXUwE07J6jg%2Fh9%2Fdw-NsTVcNgMB7Fck7dvtRa6rj0oR9ggHPzGB57ihfNs&amp;data=05%7C02%7C%7Ccf9a69073011423d7bb908dc280386ca%7C84df9e7fe9f640afb435aaaaaaaaaaaa%7C1%7C0%7C638429242852204235%7CUnknown%7CTWFpbGZsb3d8eyJWIjoiMC4wLjAwMDAiLCJQIjoiV2luMzIiLCJBTiI6Ik1haWwiLCJXVCI6Mn0%3D%7C0%7C%7C%7C&amp;sdata=ab1uTdgHqsAS71OWDMax8MXUL%2FrYnJwB4b8e%2Bx5kKss%3D&amp;reserved=0" xr:uid="{A085DB53-B081-4DFA-9D89-16D8D355444F}"/>
    <hyperlink ref="A236" r:id="rId258" display="https://na01.safelinks.protection.outlook.com/?url=https%3A%2F%2F31634813.bhclick.com%2Fss%2Fc%2Fz0X5DY489zjmVLlFQopoHc30P4ygMlB8S2tLtQysBQdc1fWj7DF76hD_LXxaUEgz-Emj1R44bU-j6ci0VPjDErw9PVuRRML6OK-6dJ2FU9A6722Z-46eLzCNfE3y__kJFuQbMC4Iuf_5Fc6z1OUX6I74MKYAFkLZWzb8O8P_o1Q5qahoO6lOQq_lmfp4BNBlxGlGOY2PGCWq8pfSHTUUqQ%2F43o%2FTYbM0llAQ9i5NV5nw08yTw%2Fh10%2FmJ7jaHVsj77oGdG9ISs2mj6TveigqKxrhMAXsqyk8e8&amp;data=05%7C02%7C%7C9033785e649243c4dfaa08dc28c8a6bc%7C84df9e7fe9f640afb435aaaaaaaaaaaa%7C1%7C0%7C638430089486086934%7CUnknown%7CTWFpbGZsb3d8eyJWIjoiMC4wLjAwMDAiLCJQIjoiV2luMzIiLCJBTiI6Ik1haWwiLCJXVCI6Mn0%3D%7C0%7C%7C%7C&amp;sdata=Psw4xI4yTVkT658ud2rT7gPeOzNC6ceRU9qFdaXsezU%3D&amp;reserved=0" xr:uid="{2D7C88ED-70F9-428B-8CFF-8FD015F08584}"/>
    <hyperlink ref="A406" r:id="rId259" display="https://na01.safelinks.protection.outlook.com/?url=https%3A%2F%2F31634813.bhclick.com%2Fss%2Fc%2FAFHHY18NT0_ddKuYrElMRn7n-0I_t-O-9CAYkEKgnYsOmAd9C0ghXOTbKD5zt7YdMl2IJCNjDQ1v-xP0MUFjmPTzPJpl6nYbQCj3YhPfIE4s39YUEDnz8tf9ag7judPI_ujxyP7Uk4HajkSmEP3nSgEurdQXulpf9CmbmiOkA4S1wAXbb9GyOJBhA8OmWeky8Mr7EZzzKbE1nwZB1Cd57g%2F43o%2FTYbM0llAQ9i5NV5nw08yTw%2Fh9%2FOP01A7WPQXtW7bxReB6K05R0mLMsjlYO7FSi1lKtyrY&amp;data=05%7C02%7C%7C9033785e649243c4dfaa08dc28c8a6bc%7C84df9e7fe9f640afb435aaaaaaaaaaaa%7C1%7C0%7C638430089486074960%7CUnknown%7CTWFpbGZsb3d8eyJWIjoiMC4wLjAwMDAiLCJQIjoiV2luMzIiLCJBTiI6Ik1haWwiLCJXVCI6Mn0%3D%7C0%7C%7C%7C&amp;sdata=pcq9gHxdZ0xYaa%2FT9W0RJQ%2B3iFq64o4sHU7%2BQ63NjUA%3D&amp;reserved=0" xr:uid="{8AA5E5EC-B0B7-4686-AF9A-2898B56D27F6}"/>
    <hyperlink ref="B118" r:id="rId260" display="https://copilot.microsoft.com/" xr:uid="{6A0324F2-3F3A-437B-9FA9-29B1533DC2F0}"/>
    <hyperlink ref="B260" r:id="rId261" xr:uid="{FB212E8F-4CDD-474A-B118-DF19AA61CA65}"/>
    <hyperlink ref="B448" r:id="rId262" xr:uid="{A71ACA5C-487F-4689-B3A2-470BDAEAC3BA}"/>
    <hyperlink ref="B234" r:id="rId263" xr:uid="{0E78A746-EE8E-4870-81C6-85C3FD533B74}"/>
    <hyperlink ref="B226" r:id="rId264" xr:uid="{5549CBB9-FB92-489A-BFC2-84745817AD64}"/>
    <hyperlink ref="B11" r:id="rId265" xr:uid="{EEABCF85-E9BA-4A44-8A33-BCF6400093D9}"/>
    <hyperlink ref="B122" r:id="rId266" xr:uid="{E0876153-B4D9-49C1-8C5F-A6DD23D1A12B}"/>
    <hyperlink ref="B174" r:id="rId267" xr:uid="{94F11EE6-271D-4957-8611-691B9001274A}"/>
    <hyperlink ref="B184" r:id="rId268" xr:uid="{414F6B8E-B08A-4AFB-874E-ED8094F3D1DD}"/>
    <hyperlink ref="B428" r:id="rId269" xr:uid="{D51E80B3-51A5-4516-A837-53CD5838CD19}"/>
    <hyperlink ref="B427" r:id="rId270" xr:uid="{C590B260-4A89-483F-BF4E-544565A6745D}"/>
    <hyperlink ref="B138" r:id="rId271" xr:uid="{9E0BBC53-D170-40CA-A187-F2180234D525}"/>
    <hyperlink ref="B95" r:id="rId272" xr:uid="{8DFD6AA2-FE8B-46F3-B3A6-78A696893870}"/>
    <hyperlink ref="B90" r:id="rId273" xr:uid="{A9028243-536B-44E3-A130-DD0EE8D746AE}"/>
    <hyperlink ref="B46" r:id="rId274" xr:uid="{DF43B359-C71D-4986-93FF-C0B67815DA25}"/>
    <hyperlink ref="B99" r:id="rId275" xr:uid="{96A73284-CEA7-4BFF-94E9-059D029612A8}"/>
    <hyperlink ref="B14" r:id="rId276" xr:uid="{1E82BFE3-2C4A-4806-9ED7-C2092DB28362}"/>
    <hyperlink ref="B88" r:id="rId277" xr:uid="{6D3EBEEC-12BD-43C7-8BA7-B0D7BE62DED0}"/>
    <hyperlink ref="B429" r:id="rId278" xr:uid="{FC192E60-3709-407E-8FDA-D724AA4CD43F}"/>
    <hyperlink ref="B29" r:id="rId279" xr:uid="{E88669CE-1726-4F72-B610-78B2C9439167}"/>
    <hyperlink ref="B125" r:id="rId280" xr:uid="{420B4DD0-760E-4C20-ABEC-CED872A60F42}"/>
    <hyperlink ref="B461" r:id="rId281" xr:uid="{871992E7-E5B8-4B8F-8B45-4AB402255E44}"/>
    <hyperlink ref="B28" r:id="rId282" xr:uid="{BCEF069C-A592-4663-B15D-84B90139B109}"/>
    <hyperlink ref="B12" r:id="rId283" xr:uid="{5A0B3A74-168F-4D9B-BF3E-7B0289DA168B}"/>
    <hyperlink ref="B465" r:id="rId284" xr:uid="{F9AAFDA6-5B2A-494E-90F7-12E67A38371D}"/>
    <hyperlink ref="B466" r:id="rId285" xr:uid="{87F5027F-A005-431B-9634-16EEFF32E215}"/>
    <hyperlink ref="B467" r:id="rId286" xr:uid="{33DCED44-0C8B-4D6C-A3D0-41F4502DE979}"/>
    <hyperlink ref="B468" r:id="rId287" xr:uid="{46B5F325-BC99-4D1D-B7F9-D05DCF5025FB}"/>
    <hyperlink ref="B469" r:id="rId288" xr:uid="{DC7C739F-16FC-4855-9E38-D73C7C0523E0}"/>
    <hyperlink ref="B470" r:id="rId289" xr:uid="{FBC2052F-1447-4DE6-B1E3-CD58DFCC9FCD}"/>
    <hyperlink ref="B471" r:id="rId290" xr:uid="{B472C7B6-3507-463C-88EB-C7AB7F2F5A53}"/>
    <hyperlink ref="B472" r:id="rId291" xr:uid="{FE33841E-DAB5-4A16-94FB-B55CB4B08A2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FFC6-F6D3-455F-90AA-9D8DA2DD746A}">
  <dimension ref="A1:C22"/>
  <sheetViews>
    <sheetView workbookViewId="0">
      <pane ySplit="1" topLeftCell="A2" activePane="bottomLeft" state="frozen"/>
      <selection pane="bottomLeft" activeCell="C26" sqref="C26"/>
    </sheetView>
  </sheetViews>
  <sheetFormatPr defaultRowHeight="15"/>
  <cols>
    <col min="1" max="1" width="20.140625" customWidth="1"/>
    <col min="2" max="2" width="37.42578125" customWidth="1"/>
    <col min="3" max="3" width="52.85546875" bestFit="1" customWidth="1"/>
  </cols>
  <sheetData>
    <row r="1" spans="1:3">
      <c r="A1" s="396" t="s">
        <v>1238</v>
      </c>
      <c r="B1" s="396" t="s">
        <v>1239</v>
      </c>
      <c r="C1" s="396" t="s">
        <v>2764</v>
      </c>
    </row>
    <row r="2" spans="1:3">
      <c r="A2" s="397" t="s">
        <v>1275</v>
      </c>
      <c r="B2" s="398" t="s">
        <v>1276</v>
      </c>
      <c r="C2" s="397" t="s">
        <v>2765</v>
      </c>
    </row>
    <row r="3" spans="1:3">
      <c r="A3" s="397" t="s">
        <v>1267</v>
      </c>
      <c r="B3" s="398" t="s">
        <v>1268</v>
      </c>
      <c r="C3" s="397" t="s">
        <v>2765</v>
      </c>
    </row>
    <row r="4" spans="1:3">
      <c r="A4" s="397" t="s">
        <v>1288</v>
      </c>
      <c r="B4" s="398" t="s">
        <v>1289</v>
      </c>
      <c r="C4" s="397" t="s">
        <v>2765</v>
      </c>
    </row>
    <row r="5" spans="1:3">
      <c r="A5" s="397" t="s">
        <v>1285</v>
      </c>
      <c r="B5" s="398" t="s">
        <v>1286</v>
      </c>
      <c r="C5" s="397" t="s">
        <v>2765</v>
      </c>
    </row>
    <row r="6" spans="1:3">
      <c r="A6" s="397" t="s">
        <v>2749</v>
      </c>
      <c r="B6" s="398" t="s">
        <v>1527</v>
      </c>
      <c r="C6" s="397" t="s">
        <v>2765</v>
      </c>
    </row>
    <row r="7" spans="1:3">
      <c r="A7" s="397" t="s">
        <v>1282</v>
      </c>
      <c r="B7" s="398" t="s">
        <v>1283</v>
      </c>
      <c r="C7" s="397" t="s">
        <v>2765</v>
      </c>
    </row>
    <row r="8" spans="1:3">
      <c r="A8" s="397" t="s">
        <v>1671</v>
      </c>
      <c r="B8" s="398" t="s">
        <v>1672</v>
      </c>
      <c r="C8" s="397" t="s">
        <v>2766</v>
      </c>
    </row>
    <row r="9" spans="1:3">
      <c r="A9" s="397" t="s">
        <v>1628</v>
      </c>
      <c r="B9" s="398" t="s">
        <v>1629</v>
      </c>
      <c r="C9" s="397" t="s">
        <v>2766</v>
      </c>
    </row>
    <row r="10" spans="1:3">
      <c r="A10" s="366" t="s">
        <v>1666</v>
      </c>
      <c r="B10" s="366" t="s">
        <v>1667</v>
      </c>
      <c r="C10" s="397" t="s">
        <v>2766</v>
      </c>
    </row>
    <row r="11" spans="1:3">
      <c r="A11" s="397" t="s">
        <v>1567</v>
      </c>
      <c r="B11" s="398" t="s">
        <v>1568</v>
      </c>
      <c r="C11" s="397" t="s">
        <v>2767</v>
      </c>
    </row>
    <row r="12" spans="1:3">
      <c r="A12" s="397" t="s">
        <v>1574</v>
      </c>
      <c r="B12" s="398" t="s">
        <v>1575</v>
      </c>
      <c r="C12" s="397" t="s">
        <v>2767</v>
      </c>
    </row>
    <row r="13" spans="1:3">
      <c r="A13" s="397" t="s">
        <v>1548</v>
      </c>
      <c r="B13" s="398" t="s">
        <v>1549</v>
      </c>
      <c r="C13" s="397" t="s">
        <v>2767</v>
      </c>
    </row>
    <row r="14" spans="1:3">
      <c r="A14" s="397" t="s">
        <v>1617</v>
      </c>
      <c r="B14" s="398" t="s">
        <v>2768</v>
      </c>
      <c r="C14" s="397" t="s">
        <v>2767</v>
      </c>
    </row>
    <row r="15" spans="1:3">
      <c r="A15" s="397" t="s">
        <v>1661</v>
      </c>
      <c r="B15" s="398" t="s">
        <v>1662</v>
      </c>
      <c r="C15" s="397" t="s">
        <v>2767</v>
      </c>
    </row>
    <row r="16" spans="1:3">
      <c r="A16" s="397" t="s">
        <v>1595</v>
      </c>
      <c r="B16" s="398" t="s">
        <v>2769</v>
      </c>
      <c r="C16" s="397" t="s">
        <v>2767</v>
      </c>
    </row>
    <row r="17" spans="1:3">
      <c r="A17" s="397" t="s">
        <v>1571</v>
      </c>
      <c r="B17" s="398" t="s">
        <v>1572</v>
      </c>
      <c r="C17" s="397" t="s">
        <v>2767</v>
      </c>
    </row>
    <row r="18" spans="1:3">
      <c r="A18" s="397" t="s">
        <v>1504</v>
      </c>
      <c r="B18" s="398" t="s">
        <v>1505</v>
      </c>
      <c r="C18" s="397" t="s">
        <v>2767</v>
      </c>
    </row>
    <row r="19" spans="1:3">
      <c r="A19" s="397" t="s">
        <v>1532</v>
      </c>
      <c r="B19" s="398" t="s">
        <v>1533</v>
      </c>
      <c r="C19" s="397" t="s">
        <v>2767</v>
      </c>
    </row>
    <row r="20" spans="1:3">
      <c r="A20" s="397" t="s">
        <v>2770</v>
      </c>
      <c r="B20" s="398" t="s">
        <v>1636</v>
      </c>
      <c r="C20" s="397" t="s">
        <v>2771</v>
      </c>
    </row>
    <row r="21" spans="1:3">
      <c r="A21" s="397" t="s">
        <v>1577</v>
      </c>
      <c r="B21" s="398" t="s">
        <v>1578</v>
      </c>
      <c r="C21" s="397" t="s">
        <v>2771</v>
      </c>
    </row>
    <row r="22" spans="1:3">
      <c r="A22" s="397" t="s">
        <v>1648</v>
      </c>
      <c r="B22" s="398" t="s">
        <v>1649</v>
      </c>
      <c r="C22" s="397" t="s">
        <v>2767</v>
      </c>
    </row>
  </sheetData>
  <conditionalFormatting sqref="A10">
    <cfRule type="duplicateValues" dxfId="49" priority="2"/>
  </conditionalFormatting>
  <conditionalFormatting sqref="B10">
    <cfRule type="duplicateValues" dxfId="48" priority="1"/>
  </conditionalFormatting>
  <hyperlinks>
    <hyperlink ref="B3" r:id="rId1" xr:uid="{00E9AAAA-5661-4723-A950-B43B852A4030}"/>
    <hyperlink ref="B2" r:id="rId2" xr:uid="{A5046F23-17C1-4F83-A1BD-421ADA73AAFE}"/>
    <hyperlink ref="B7" r:id="rId3" xr:uid="{C8E71C6C-A029-44F8-A3CC-325C626F4DED}"/>
    <hyperlink ref="B5" r:id="rId4" xr:uid="{7599B345-627A-47B7-AA2E-19E9E8AF4992}"/>
    <hyperlink ref="B4" r:id="rId5" xr:uid="{6E5077EB-E07D-4777-88F4-C4F14284EA97}"/>
    <hyperlink ref="B18" r:id="rId6" xr:uid="{CA8A54E6-5B9F-492B-9DD3-6B8DD149030F}"/>
    <hyperlink ref="B6" r:id="rId7" xr:uid="{55E1A5FD-3B1A-4EC3-AA0E-364035105E20}"/>
    <hyperlink ref="B19" r:id="rId8" xr:uid="{272E5B2A-C381-4FB9-814D-8CE79C0125FB}"/>
    <hyperlink ref="B13" r:id="rId9" xr:uid="{31F90025-6966-4816-AD0D-36D801EA0B11}"/>
    <hyperlink ref="B11" r:id="rId10" xr:uid="{A0EDA9D2-32C0-4774-A90B-4FED80082568}"/>
    <hyperlink ref="B17" r:id="rId11" xr:uid="{0A175E82-AAF2-4FBD-B28F-52C8ED952CD1}"/>
    <hyperlink ref="B12" r:id="rId12" xr:uid="{6CE97AEE-0210-4D92-B761-2BECCCFF3A92}"/>
    <hyperlink ref="B21" r:id="rId13" xr:uid="{CEC90F70-B731-425F-A3E4-522EFD8E4DDC}"/>
    <hyperlink ref="B16" r:id="rId14" xr:uid="{728FF763-6F3B-40A8-9E77-DDC5430BDB57}"/>
    <hyperlink ref="B14" r:id="rId15" xr:uid="{EC0853F6-7897-4C14-821B-E95BC6390D90}"/>
    <hyperlink ref="B9" r:id="rId16" xr:uid="{105374FD-CDF7-4AA3-A50A-8E85A9848DB8}"/>
    <hyperlink ref="B20" r:id="rId17" xr:uid="{FAE7E676-724D-47E1-B578-0C8DE023DB26}"/>
    <hyperlink ref="B22" r:id="rId18" xr:uid="{4AABAA92-8041-414C-A10C-10289108FD05}"/>
    <hyperlink ref="B15" r:id="rId19" xr:uid="{17A42799-1608-45AC-B933-8109C5F83E17}"/>
    <hyperlink ref="B8" r:id="rId20" xr:uid="{0B2A2921-56CD-408E-B2D3-81B426E4EEB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026B-114E-4F2F-947A-058B9AB78926}">
  <dimension ref="A1:H156"/>
  <sheetViews>
    <sheetView topLeftCell="A136" workbookViewId="0">
      <selection activeCell="C9" sqref="C9"/>
    </sheetView>
  </sheetViews>
  <sheetFormatPr defaultRowHeight="15"/>
  <cols>
    <col min="1" max="1" width="22.42578125" customWidth="1"/>
    <col min="2" max="2" width="42" bestFit="1" customWidth="1"/>
    <col min="3" max="3" width="56.28515625" style="242" customWidth="1"/>
    <col min="4" max="4" width="13.5703125" bestFit="1" customWidth="1"/>
    <col min="5" max="5" width="13.140625" customWidth="1"/>
    <col min="7" max="7" width="39.85546875" bestFit="1" customWidth="1"/>
  </cols>
  <sheetData>
    <row r="1" spans="1:7">
      <c r="A1" s="364" t="s">
        <v>1238</v>
      </c>
      <c r="B1" s="364" t="s">
        <v>1239</v>
      </c>
      <c r="C1" s="385" t="s">
        <v>1240</v>
      </c>
      <c r="D1" s="364" t="s">
        <v>27</v>
      </c>
      <c r="E1" s="364" t="s">
        <v>1241</v>
      </c>
      <c r="F1" s="364" t="s">
        <v>1242</v>
      </c>
      <c r="G1" s="364" t="s">
        <v>1243</v>
      </c>
    </row>
    <row r="2" spans="1:7" ht="39">
      <c r="A2" s="368" t="s">
        <v>2772</v>
      </c>
      <c r="B2" s="368" t="s">
        <v>2773</v>
      </c>
      <c r="C2" s="387" t="s">
        <v>2774</v>
      </c>
      <c r="D2" s="369" t="s">
        <v>1247</v>
      </c>
      <c r="E2" s="369"/>
      <c r="F2" s="370"/>
      <c r="G2" s="399" t="s">
        <v>2775</v>
      </c>
    </row>
    <row r="3" spans="1:7">
      <c r="A3" s="368" t="s">
        <v>2776</v>
      </c>
      <c r="B3" s="363" t="s">
        <v>2777</v>
      </c>
      <c r="C3" s="387" t="s">
        <v>2778</v>
      </c>
      <c r="D3" s="369" t="s">
        <v>1319</v>
      </c>
      <c r="E3" s="369"/>
      <c r="F3" s="370">
        <v>5</v>
      </c>
      <c r="G3" s="399" t="s">
        <v>2779</v>
      </c>
    </row>
    <row r="4" spans="1:7" ht="64.5">
      <c r="A4" s="368" t="s">
        <v>2780</v>
      </c>
      <c r="B4" s="368" t="s">
        <v>2781</v>
      </c>
      <c r="C4" s="387" t="s">
        <v>2782</v>
      </c>
      <c r="D4" s="369" t="s">
        <v>1247</v>
      </c>
      <c r="E4" s="369"/>
      <c r="F4" s="370"/>
      <c r="G4" s="399" t="s">
        <v>2783</v>
      </c>
    </row>
    <row r="5" spans="1:7" ht="39">
      <c r="A5" s="368" t="s">
        <v>2784</v>
      </c>
      <c r="B5" s="368" t="s">
        <v>2785</v>
      </c>
      <c r="C5" s="387" t="s">
        <v>2786</v>
      </c>
      <c r="D5" s="369" t="s">
        <v>1247</v>
      </c>
      <c r="E5" s="369"/>
      <c r="F5" s="370"/>
      <c r="G5" s="399" t="s">
        <v>2783</v>
      </c>
    </row>
    <row r="6" spans="1:7" ht="39">
      <c r="A6" s="368" t="s">
        <v>2787</v>
      </c>
      <c r="B6" s="368" t="s">
        <v>2788</v>
      </c>
      <c r="C6" s="387" t="s">
        <v>2789</v>
      </c>
      <c r="D6" s="369" t="s">
        <v>1247</v>
      </c>
      <c r="E6" s="369"/>
      <c r="F6" s="370"/>
      <c r="G6" s="399" t="s">
        <v>2783</v>
      </c>
    </row>
    <row r="7" spans="1:7" ht="51.75">
      <c r="A7" s="368" t="s">
        <v>2790</v>
      </c>
      <c r="B7" s="368" t="s">
        <v>2791</v>
      </c>
      <c r="C7" s="387" t="s">
        <v>2792</v>
      </c>
      <c r="D7" s="369" t="s">
        <v>1247</v>
      </c>
      <c r="E7" s="369"/>
      <c r="F7" s="370"/>
      <c r="G7" s="399" t="s">
        <v>2783</v>
      </c>
    </row>
    <row r="8" spans="1:7" ht="51.75">
      <c r="A8" s="368" t="s">
        <v>2793</v>
      </c>
      <c r="B8" s="368" t="s">
        <v>2794</v>
      </c>
      <c r="C8" s="387" t="s">
        <v>2795</v>
      </c>
      <c r="D8" s="369" t="s">
        <v>1247</v>
      </c>
      <c r="E8" s="369"/>
      <c r="F8" s="370"/>
      <c r="G8" s="399" t="s">
        <v>2783</v>
      </c>
    </row>
    <row r="9" spans="1:7" ht="39">
      <c r="A9" s="368" t="s">
        <v>2796</v>
      </c>
      <c r="B9" s="368" t="s">
        <v>2797</v>
      </c>
      <c r="C9" s="387" t="s">
        <v>2798</v>
      </c>
      <c r="D9" s="369" t="s">
        <v>1247</v>
      </c>
      <c r="E9" s="369"/>
      <c r="F9" s="370"/>
      <c r="G9" s="399" t="s">
        <v>2783</v>
      </c>
    </row>
    <row r="10" spans="1:7" ht="39">
      <c r="A10" s="368" t="s">
        <v>2799</v>
      </c>
      <c r="B10" s="368" t="s">
        <v>2800</v>
      </c>
      <c r="C10" s="387" t="s">
        <v>2801</v>
      </c>
      <c r="D10" s="369" t="s">
        <v>1247</v>
      </c>
      <c r="E10" s="369"/>
      <c r="F10" s="370"/>
      <c r="G10" s="399" t="s">
        <v>2783</v>
      </c>
    </row>
    <row r="11" spans="1:7" ht="26.25">
      <c r="A11" s="368" t="s">
        <v>2802</v>
      </c>
      <c r="B11" s="368" t="s">
        <v>2803</v>
      </c>
      <c r="C11" s="387" t="s">
        <v>2804</v>
      </c>
      <c r="D11" s="369" t="s">
        <v>1247</v>
      </c>
      <c r="E11" s="369"/>
      <c r="F11" s="370"/>
      <c r="G11" s="399" t="s">
        <v>2783</v>
      </c>
    </row>
    <row r="12" spans="1:7" ht="77.25">
      <c r="A12" s="368" t="s">
        <v>2805</v>
      </c>
      <c r="B12" s="368" t="s">
        <v>2806</v>
      </c>
      <c r="C12" s="387" t="s">
        <v>2807</v>
      </c>
      <c r="D12" s="369" t="s">
        <v>1247</v>
      </c>
      <c r="E12" s="369"/>
      <c r="F12" s="370"/>
      <c r="G12" s="399" t="s">
        <v>2783</v>
      </c>
    </row>
    <row r="13" spans="1:7" ht="26.25">
      <c r="A13" s="368" t="s">
        <v>2808</v>
      </c>
      <c r="B13" s="368" t="s">
        <v>2809</v>
      </c>
      <c r="C13" s="387" t="s">
        <v>2810</v>
      </c>
      <c r="D13" s="369" t="s">
        <v>1247</v>
      </c>
      <c r="E13" s="369"/>
      <c r="F13" s="370"/>
      <c r="G13" s="399" t="s">
        <v>2783</v>
      </c>
    </row>
    <row r="14" spans="1:7" ht="26.25">
      <c r="A14" s="368" t="s">
        <v>2811</v>
      </c>
      <c r="B14" s="368" t="s">
        <v>2812</v>
      </c>
      <c r="C14" s="387" t="s">
        <v>2813</v>
      </c>
      <c r="D14" s="369" t="s">
        <v>1247</v>
      </c>
      <c r="E14" s="369"/>
      <c r="F14" s="370"/>
      <c r="G14" s="399" t="s">
        <v>2783</v>
      </c>
    </row>
    <row r="15" spans="1:7" ht="51.75">
      <c r="A15" s="368" t="s">
        <v>2814</v>
      </c>
      <c r="B15" s="368" t="s">
        <v>2815</v>
      </c>
      <c r="C15" s="387" t="s">
        <v>2816</v>
      </c>
      <c r="D15" s="369" t="s">
        <v>1247</v>
      </c>
      <c r="E15" s="369"/>
      <c r="F15" s="370"/>
      <c r="G15" s="399" t="s">
        <v>2783</v>
      </c>
    </row>
    <row r="16" spans="1:7" ht="26.25">
      <c r="A16" s="368" t="s">
        <v>2817</v>
      </c>
      <c r="B16" s="368" t="s">
        <v>2818</v>
      </c>
      <c r="C16" s="387" t="s">
        <v>2819</v>
      </c>
      <c r="D16" s="369" t="s">
        <v>2820</v>
      </c>
      <c r="E16" s="369"/>
      <c r="F16" s="370">
        <v>5</v>
      </c>
      <c r="G16" s="399" t="s">
        <v>1928</v>
      </c>
    </row>
    <row r="17" spans="1:7">
      <c r="A17" s="368" t="s">
        <v>2821</v>
      </c>
      <c r="B17" s="368" t="s">
        <v>2822</v>
      </c>
      <c r="C17" s="387" t="s">
        <v>2823</v>
      </c>
      <c r="D17" s="369" t="s">
        <v>1247</v>
      </c>
      <c r="E17" s="369"/>
      <c r="F17" s="370"/>
      <c r="G17" s="399" t="s">
        <v>1928</v>
      </c>
    </row>
    <row r="18" spans="1:7">
      <c r="A18" s="368" t="s">
        <v>2824</v>
      </c>
      <c r="B18" s="363" t="s">
        <v>2825</v>
      </c>
      <c r="C18" s="392" t="s">
        <v>2826</v>
      </c>
      <c r="D18" s="369" t="s">
        <v>1247</v>
      </c>
      <c r="E18" s="369"/>
      <c r="F18" s="376">
        <v>4</v>
      </c>
      <c r="G18" s="399" t="s">
        <v>1928</v>
      </c>
    </row>
    <row r="19" spans="1:7">
      <c r="A19" s="368" t="s">
        <v>2827</v>
      </c>
      <c r="B19" s="363" t="s">
        <v>2828</v>
      </c>
      <c r="C19" s="387" t="s">
        <v>2829</v>
      </c>
      <c r="D19" s="369" t="s">
        <v>1247</v>
      </c>
      <c r="E19" s="369"/>
      <c r="F19" s="370">
        <v>5</v>
      </c>
      <c r="G19" s="399" t="s">
        <v>1928</v>
      </c>
    </row>
    <row r="20" spans="1:7">
      <c r="A20" s="368" t="s">
        <v>2830</v>
      </c>
      <c r="B20" s="368" t="s">
        <v>2831</v>
      </c>
      <c r="C20" s="387" t="s">
        <v>2832</v>
      </c>
      <c r="D20" s="369" t="s">
        <v>1247</v>
      </c>
      <c r="E20" s="369"/>
      <c r="F20" s="370">
        <v>3</v>
      </c>
      <c r="G20" s="399" t="s">
        <v>1928</v>
      </c>
    </row>
    <row r="21" spans="1:7">
      <c r="A21" s="368" t="s">
        <v>2833</v>
      </c>
      <c r="B21" s="368" t="s">
        <v>2834</v>
      </c>
      <c r="C21" s="387" t="s">
        <v>2835</v>
      </c>
      <c r="D21" s="369" t="s">
        <v>2820</v>
      </c>
      <c r="E21" s="369"/>
      <c r="F21" s="370">
        <v>3</v>
      </c>
      <c r="G21" s="399" t="s">
        <v>2836</v>
      </c>
    </row>
    <row r="22" spans="1:7">
      <c r="A22" s="368" t="s">
        <v>2837</v>
      </c>
      <c r="B22" s="371" t="s">
        <v>2838</v>
      </c>
      <c r="C22" s="387" t="s">
        <v>2835</v>
      </c>
      <c r="D22" s="369" t="s">
        <v>2820</v>
      </c>
      <c r="E22" s="369"/>
      <c r="F22" s="370">
        <v>3</v>
      </c>
      <c r="G22" s="399" t="s">
        <v>2836</v>
      </c>
    </row>
    <row r="23" spans="1:7">
      <c r="A23" s="368" t="s">
        <v>2839</v>
      </c>
      <c r="B23" s="243" t="s">
        <v>2840</v>
      </c>
      <c r="C23" s="387" t="s">
        <v>2835</v>
      </c>
      <c r="D23" s="369" t="s">
        <v>2820</v>
      </c>
      <c r="E23" s="369"/>
      <c r="F23" s="370">
        <v>3</v>
      </c>
      <c r="G23" s="399" t="s">
        <v>2836</v>
      </c>
    </row>
    <row r="24" spans="1:7" ht="26.25">
      <c r="A24" s="368" t="s">
        <v>2841</v>
      </c>
      <c r="B24" s="368" t="s">
        <v>2842</v>
      </c>
      <c r="C24" s="387" t="s">
        <v>2843</v>
      </c>
      <c r="D24" s="369" t="s">
        <v>1247</v>
      </c>
      <c r="E24" s="369"/>
      <c r="F24" s="370"/>
      <c r="G24" s="399" t="s">
        <v>2844</v>
      </c>
    </row>
    <row r="25" spans="1:7">
      <c r="A25" s="368" t="s">
        <v>2845</v>
      </c>
      <c r="B25" s="363" t="s">
        <v>2846</v>
      </c>
      <c r="C25" s="387" t="s">
        <v>2847</v>
      </c>
      <c r="D25" s="369" t="s">
        <v>1946</v>
      </c>
      <c r="E25" s="369" t="s">
        <v>2848</v>
      </c>
      <c r="F25" s="370">
        <v>3</v>
      </c>
      <c r="G25" s="399" t="s">
        <v>2849</v>
      </c>
    </row>
    <row r="26" spans="1:7">
      <c r="A26" s="368" t="s">
        <v>2850</v>
      </c>
      <c r="B26" s="368" t="s">
        <v>2851</v>
      </c>
      <c r="C26" s="387" t="s">
        <v>2852</v>
      </c>
      <c r="D26" s="369" t="s">
        <v>1307</v>
      </c>
      <c r="E26" s="369" t="s">
        <v>2853</v>
      </c>
      <c r="F26" s="370">
        <v>4</v>
      </c>
      <c r="G26" s="399" t="s">
        <v>2854</v>
      </c>
    </row>
    <row r="27" spans="1:7" ht="39">
      <c r="A27" s="368" t="s">
        <v>2855</v>
      </c>
      <c r="B27" s="368" t="s">
        <v>2856</v>
      </c>
      <c r="C27" s="387" t="s">
        <v>2857</v>
      </c>
      <c r="D27" s="369" t="s">
        <v>1247</v>
      </c>
      <c r="E27" s="369"/>
      <c r="F27" s="370"/>
      <c r="G27" s="399" t="s">
        <v>2858</v>
      </c>
    </row>
    <row r="28" spans="1:7">
      <c r="A28" s="368" t="s">
        <v>2859</v>
      </c>
      <c r="B28" s="371" t="s">
        <v>2860</v>
      </c>
      <c r="C28" s="400" t="s">
        <v>2861</v>
      </c>
      <c r="D28" s="369" t="s">
        <v>1247</v>
      </c>
      <c r="E28" s="369"/>
      <c r="F28" s="370">
        <v>3</v>
      </c>
      <c r="G28" s="399" t="s">
        <v>2858</v>
      </c>
    </row>
    <row r="29" spans="1:7" ht="51.75">
      <c r="A29" s="368" t="s">
        <v>2862</v>
      </c>
      <c r="B29" s="368" t="s">
        <v>2863</v>
      </c>
      <c r="C29" s="387" t="s">
        <v>2864</v>
      </c>
      <c r="D29" s="369" t="s">
        <v>1247</v>
      </c>
      <c r="E29" s="369"/>
      <c r="F29" s="370"/>
      <c r="G29" s="399" t="s">
        <v>2858</v>
      </c>
    </row>
    <row r="30" spans="1:7" ht="26.25">
      <c r="A30" s="368" t="s">
        <v>2865</v>
      </c>
      <c r="B30" s="368" t="s">
        <v>2866</v>
      </c>
      <c r="C30" s="387" t="s">
        <v>2867</v>
      </c>
      <c r="D30" s="369" t="s">
        <v>1247</v>
      </c>
      <c r="E30" s="369"/>
      <c r="F30" s="370"/>
      <c r="G30" s="399" t="s">
        <v>2858</v>
      </c>
    </row>
    <row r="31" spans="1:7" ht="26.25">
      <c r="A31" s="368" t="s">
        <v>2868</v>
      </c>
      <c r="B31" s="368" t="s">
        <v>2869</v>
      </c>
      <c r="C31" s="387" t="s">
        <v>2870</v>
      </c>
      <c r="D31" s="369" t="s">
        <v>1247</v>
      </c>
      <c r="E31" s="369"/>
      <c r="F31" s="370"/>
      <c r="G31" s="399" t="s">
        <v>2858</v>
      </c>
    </row>
    <row r="32" spans="1:7" ht="26.25">
      <c r="A32" s="368" t="s">
        <v>2871</v>
      </c>
      <c r="B32" s="368" t="s">
        <v>2872</v>
      </c>
      <c r="C32" s="387" t="s">
        <v>2873</v>
      </c>
      <c r="D32" s="369" t="s">
        <v>1247</v>
      </c>
      <c r="E32" s="369"/>
      <c r="F32" s="370"/>
      <c r="G32" s="399" t="s">
        <v>2858</v>
      </c>
    </row>
    <row r="33" spans="1:7" ht="26.25">
      <c r="A33" s="368" t="s">
        <v>2874</v>
      </c>
      <c r="B33" s="368" t="s">
        <v>2875</v>
      </c>
      <c r="C33" s="387" t="s">
        <v>2876</v>
      </c>
      <c r="D33" s="369" t="s">
        <v>1247</v>
      </c>
      <c r="E33" s="369"/>
      <c r="F33" s="370"/>
      <c r="G33" s="399" t="s">
        <v>2858</v>
      </c>
    </row>
    <row r="34" spans="1:7" ht="26.25">
      <c r="A34" s="368" t="s">
        <v>2877</v>
      </c>
      <c r="B34" s="368" t="s">
        <v>2878</v>
      </c>
      <c r="C34" s="387" t="s">
        <v>2879</v>
      </c>
      <c r="D34" s="369" t="s">
        <v>1247</v>
      </c>
      <c r="E34" s="369"/>
      <c r="F34" s="370"/>
      <c r="G34" s="399" t="s">
        <v>2858</v>
      </c>
    </row>
    <row r="35" spans="1:7" ht="39">
      <c r="A35" s="368" t="s">
        <v>2880</v>
      </c>
      <c r="B35" s="368" t="s">
        <v>2881</v>
      </c>
      <c r="C35" s="387" t="s">
        <v>2882</v>
      </c>
      <c r="D35" s="369" t="s">
        <v>1247</v>
      </c>
      <c r="E35" s="369"/>
      <c r="F35" s="370"/>
      <c r="G35" s="399" t="s">
        <v>1975</v>
      </c>
    </row>
    <row r="36" spans="1:7" ht="26.25">
      <c r="A36" s="368" t="s">
        <v>2883</v>
      </c>
      <c r="B36" s="368" t="s">
        <v>2884</v>
      </c>
      <c r="C36" s="387" t="s">
        <v>2885</v>
      </c>
      <c r="D36" s="369" t="s">
        <v>1247</v>
      </c>
      <c r="E36" s="369"/>
      <c r="F36" s="370"/>
      <c r="G36" s="399" t="s">
        <v>1975</v>
      </c>
    </row>
    <row r="37" spans="1:7">
      <c r="A37" s="366" t="s">
        <v>2886</v>
      </c>
      <c r="B37" s="243" t="s">
        <v>2887</v>
      </c>
      <c r="C37" s="386" t="s">
        <v>2888</v>
      </c>
      <c r="D37" s="369" t="s">
        <v>1247</v>
      </c>
      <c r="E37" s="149"/>
      <c r="F37" s="139"/>
      <c r="G37" s="380" t="s">
        <v>1975</v>
      </c>
    </row>
    <row r="38" spans="1:7" ht="39">
      <c r="A38" s="368" t="s">
        <v>2889</v>
      </c>
      <c r="B38" s="368" t="s">
        <v>2890</v>
      </c>
      <c r="C38" s="387" t="s">
        <v>2891</v>
      </c>
      <c r="D38" s="369" t="s">
        <v>1247</v>
      </c>
      <c r="E38" s="369"/>
      <c r="F38" s="370"/>
      <c r="G38" s="399" t="s">
        <v>1975</v>
      </c>
    </row>
    <row r="39" spans="1:7" ht="26.25">
      <c r="A39" s="368" t="s">
        <v>2892</v>
      </c>
      <c r="B39" s="368" t="s">
        <v>2893</v>
      </c>
      <c r="C39" s="387" t="s">
        <v>2894</v>
      </c>
      <c r="D39" s="369" t="s">
        <v>1247</v>
      </c>
      <c r="E39" s="369"/>
      <c r="F39" s="370"/>
      <c r="G39" s="399" t="s">
        <v>1975</v>
      </c>
    </row>
    <row r="40" spans="1:7" ht="26.25">
      <c r="A40" s="368" t="s">
        <v>2895</v>
      </c>
      <c r="B40" s="368" t="s">
        <v>2896</v>
      </c>
      <c r="C40" s="387" t="s">
        <v>2897</v>
      </c>
      <c r="D40" s="369" t="s">
        <v>1247</v>
      </c>
      <c r="E40" s="369"/>
      <c r="F40" s="370"/>
      <c r="G40" s="399" t="s">
        <v>1975</v>
      </c>
    </row>
    <row r="41" spans="1:7">
      <c r="A41" s="368" t="s">
        <v>2898</v>
      </c>
      <c r="B41" s="371" t="s">
        <v>2899</v>
      </c>
      <c r="C41" s="387" t="s">
        <v>2900</v>
      </c>
      <c r="D41" s="369" t="s">
        <v>1247</v>
      </c>
      <c r="E41" s="369"/>
      <c r="F41" s="370">
        <v>2</v>
      </c>
      <c r="G41" s="399" t="s">
        <v>1975</v>
      </c>
    </row>
    <row r="42" spans="1:7" ht="26.25">
      <c r="A42" s="368" t="s">
        <v>2901</v>
      </c>
      <c r="B42" s="363" t="s">
        <v>2902</v>
      </c>
      <c r="C42" s="387" t="s">
        <v>2903</v>
      </c>
      <c r="D42" s="369" t="s">
        <v>1946</v>
      </c>
      <c r="E42" s="369" t="s">
        <v>2904</v>
      </c>
      <c r="F42" s="370">
        <v>4</v>
      </c>
      <c r="G42" s="399" t="s">
        <v>1975</v>
      </c>
    </row>
    <row r="43" spans="1:7" ht="51.75">
      <c r="A43" s="368" t="s">
        <v>2905</v>
      </c>
      <c r="B43" s="368" t="s">
        <v>2906</v>
      </c>
      <c r="C43" s="387" t="s">
        <v>2907</v>
      </c>
      <c r="D43" s="369" t="s">
        <v>1247</v>
      </c>
      <c r="E43" s="369"/>
      <c r="F43" s="370"/>
      <c r="G43" s="399" t="s">
        <v>1975</v>
      </c>
    </row>
    <row r="44" spans="1:7" ht="39">
      <c r="A44" s="368" t="s">
        <v>2908</v>
      </c>
      <c r="B44" s="368" t="s">
        <v>2909</v>
      </c>
      <c r="C44" s="387" t="s">
        <v>2910</v>
      </c>
      <c r="D44" s="369" t="s">
        <v>1247</v>
      </c>
      <c r="E44" s="369"/>
      <c r="F44" s="370"/>
      <c r="G44" s="399" t="s">
        <v>1975</v>
      </c>
    </row>
    <row r="45" spans="1:7" ht="26.25">
      <c r="A45" s="368" t="s">
        <v>2911</v>
      </c>
      <c r="B45" s="368" t="s">
        <v>2912</v>
      </c>
      <c r="C45" s="387" t="s">
        <v>2913</v>
      </c>
      <c r="D45" s="369" t="s">
        <v>1247</v>
      </c>
      <c r="E45" s="369"/>
      <c r="F45" s="370"/>
      <c r="G45" s="399" t="s">
        <v>1975</v>
      </c>
    </row>
    <row r="46" spans="1:7">
      <c r="A46" s="368" t="s">
        <v>2914</v>
      </c>
      <c r="B46" s="368" t="s">
        <v>2915</v>
      </c>
      <c r="C46" s="387" t="s">
        <v>2916</v>
      </c>
      <c r="D46" s="369" t="s">
        <v>1247</v>
      </c>
      <c r="E46" s="369"/>
      <c r="F46" s="370"/>
      <c r="G46" s="399" t="s">
        <v>1975</v>
      </c>
    </row>
    <row r="47" spans="1:7" ht="39">
      <c r="A47" s="368" t="s">
        <v>2917</v>
      </c>
      <c r="B47" s="368" t="s">
        <v>2918</v>
      </c>
      <c r="C47" s="387" t="s">
        <v>2919</v>
      </c>
      <c r="D47" s="369" t="s">
        <v>1247</v>
      </c>
      <c r="E47" s="369"/>
      <c r="F47" s="370"/>
      <c r="G47" s="399" t="s">
        <v>1975</v>
      </c>
    </row>
    <row r="48" spans="1:7" ht="26.25">
      <c r="A48" s="368" t="s">
        <v>2920</v>
      </c>
      <c r="B48" s="368" t="s">
        <v>2921</v>
      </c>
      <c r="C48" s="387" t="s">
        <v>2922</v>
      </c>
      <c r="D48" s="369" t="s">
        <v>1247</v>
      </c>
      <c r="E48" s="369"/>
      <c r="F48" s="370"/>
      <c r="G48" s="399" t="s">
        <v>1975</v>
      </c>
    </row>
    <row r="49" spans="1:7">
      <c r="A49" s="368" t="s">
        <v>2923</v>
      </c>
      <c r="B49" s="379" t="s">
        <v>2924</v>
      </c>
      <c r="C49" s="387" t="s">
        <v>2925</v>
      </c>
      <c r="D49" s="369" t="s">
        <v>1247</v>
      </c>
      <c r="E49" s="369"/>
      <c r="F49" s="370">
        <v>3</v>
      </c>
      <c r="G49" s="399" t="s">
        <v>1975</v>
      </c>
    </row>
    <row r="50" spans="1:7">
      <c r="A50" s="368" t="s">
        <v>2926</v>
      </c>
      <c r="B50" s="363" t="s">
        <v>2927</v>
      </c>
      <c r="C50" s="387" t="s">
        <v>2928</v>
      </c>
      <c r="D50" s="369" t="s">
        <v>1247</v>
      </c>
      <c r="E50" s="369"/>
      <c r="F50" s="370">
        <v>2</v>
      </c>
      <c r="G50" s="399" t="s">
        <v>1975</v>
      </c>
    </row>
    <row r="51" spans="1:7" ht="26.25">
      <c r="A51" s="368" t="s">
        <v>2929</v>
      </c>
      <c r="B51" s="373" t="s">
        <v>2929</v>
      </c>
      <c r="C51" s="387" t="s">
        <v>2930</v>
      </c>
      <c r="D51" s="369" t="s">
        <v>1247</v>
      </c>
      <c r="E51" s="369"/>
      <c r="F51" s="370">
        <v>4</v>
      </c>
      <c r="G51" s="399" t="s">
        <v>2931</v>
      </c>
    </row>
    <row r="52" spans="1:7" ht="26.25">
      <c r="A52" s="368" t="s">
        <v>2932</v>
      </c>
      <c r="B52" s="368" t="s">
        <v>2933</v>
      </c>
      <c r="C52" s="387" t="s">
        <v>2934</v>
      </c>
      <c r="D52" s="369" t="s">
        <v>1247</v>
      </c>
      <c r="E52" s="369"/>
      <c r="F52" s="370">
        <v>2</v>
      </c>
      <c r="G52" s="399" t="s">
        <v>2931</v>
      </c>
    </row>
    <row r="53" spans="1:7">
      <c r="A53" s="368" t="s">
        <v>2935</v>
      </c>
      <c r="B53" s="243" t="s">
        <v>2936</v>
      </c>
      <c r="C53" s="387" t="s">
        <v>2937</v>
      </c>
      <c r="D53" s="369" t="s">
        <v>1247</v>
      </c>
      <c r="E53" s="369"/>
      <c r="F53" s="370">
        <v>3</v>
      </c>
      <c r="G53" s="399" t="s">
        <v>2938</v>
      </c>
    </row>
    <row r="54" spans="1:7" ht="26.25">
      <c r="A54" s="368" t="s">
        <v>2939</v>
      </c>
      <c r="B54" s="363" t="s">
        <v>2940</v>
      </c>
      <c r="C54" s="387" t="s">
        <v>2941</v>
      </c>
      <c r="D54" s="369" t="s">
        <v>1247</v>
      </c>
      <c r="E54" s="369"/>
      <c r="F54" s="370">
        <v>4</v>
      </c>
      <c r="G54" s="399" t="s">
        <v>2942</v>
      </c>
    </row>
    <row r="55" spans="1:7" ht="26.25">
      <c r="A55" s="368" t="s">
        <v>2943</v>
      </c>
      <c r="B55" s="368" t="s">
        <v>2944</v>
      </c>
      <c r="C55" s="387" t="s">
        <v>2945</v>
      </c>
      <c r="D55" s="369" t="s">
        <v>1247</v>
      </c>
      <c r="E55" s="369"/>
      <c r="F55" s="370"/>
      <c r="G55" s="399" t="s">
        <v>2064</v>
      </c>
    </row>
    <row r="56" spans="1:7" ht="39">
      <c r="A56" s="368" t="s">
        <v>2946</v>
      </c>
      <c r="B56" s="368" t="s">
        <v>2947</v>
      </c>
      <c r="C56" s="387" t="s">
        <v>2948</v>
      </c>
      <c r="D56" s="369" t="s">
        <v>1247</v>
      </c>
      <c r="E56" s="369"/>
      <c r="F56" s="370"/>
      <c r="G56" s="399" t="s">
        <v>2064</v>
      </c>
    </row>
    <row r="57" spans="1:7" ht="26.25">
      <c r="A57" s="368" t="s">
        <v>2949</v>
      </c>
      <c r="B57" s="368" t="s">
        <v>2950</v>
      </c>
      <c r="C57" s="387" t="s">
        <v>2951</v>
      </c>
      <c r="D57" s="369" t="s">
        <v>1247</v>
      </c>
      <c r="E57" s="369"/>
      <c r="F57" s="370"/>
      <c r="G57" s="399" t="s">
        <v>2064</v>
      </c>
    </row>
    <row r="58" spans="1:7" ht="39">
      <c r="A58" s="368" t="s">
        <v>2952</v>
      </c>
      <c r="B58" s="368" t="s">
        <v>2953</v>
      </c>
      <c r="C58" s="387" t="s">
        <v>2954</v>
      </c>
      <c r="D58" s="369" t="s">
        <v>1247</v>
      </c>
      <c r="E58" s="369"/>
      <c r="F58" s="370"/>
      <c r="G58" s="399" t="s">
        <v>2064</v>
      </c>
    </row>
    <row r="59" spans="1:7" ht="39">
      <c r="A59" s="368" t="s">
        <v>2955</v>
      </c>
      <c r="B59" s="368" t="s">
        <v>2956</v>
      </c>
      <c r="C59" s="387" t="s">
        <v>2957</v>
      </c>
      <c r="D59" s="369" t="s">
        <v>1247</v>
      </c>
      <c r="E59" s="369"/>
      <c r="F59" s="370"/>
      <c r="G59" s="399" t="s">
        <v>2064</v>
      </c>
    </row>
    <row r="60" spans="1:7" ht="39">
      <c r="A60" s="368" t="s">
        <v>2958</v>
      </c>
      <c r="B60" s="368" t="s">
        <v>2959</v>
      </c>
      <c r="C60" s="387" t="s">
        <v>2960</v>
      </c>
      <c r="D60" s="369" t="s">
        <v>1247</v>
      </c>
      <c r="E60" s="369"/>
      <c r="F60" s="370"/>
      <c r="G60" s="399" t="s">
        <v>2064</v>
      </c>
    </row>
    <row r="61" spans="1:7" ht="26.25">
      <c r="A61" s="368" t="s">
        <v>2961</v>
      </c>
      <c r="B61" s="368" t="s">
        <v>2962</v>
      </c>
      <c r="C61" s="387" t="s">
        <v>2963</v>
      </c>
      <c r="D61" s="369" t="s">
        <v>1247</v>
      </c>
      <c r="E61" s="369"/>
      <c r="F61" s="370"/>
      <c r="G61" s="399" t="s">
        <v>2064</v>
      </c>
    </row>
    <row r="62" spans="1:7" ht="26.25">
      <c r="A62" s="368" t="s">
        <v>2964</v>
      </c>
      <c r="B62" s="368" t="s">
        <v>2965</v>
      </c>
      <c r="C62" s="387" t="s">
        <v>2966</v>
      </c>
      <c r="D62" s="369" t="s">
        <v>1247</v>
      </c>
      <c r="E62" s="369"/>
      <c r="F62" s="370"/>
      <c r="G62" s="399" t="s">
        <v>2064</v>
      </c>
    </row>
    <row r="63" spans="1:7" ht="39">
      <c r="A63" s="368" t="s">
        <v>2967</v>
      </c>
      <c r="B63" s="368" t="s">
        <v>2968</v>
      </c>
      <c r="C63" s="387" t="s">
        <v>2969</v>
      </c>
      <c r="D63" s="369" t="s">
        <v>1247</v>
      </c>
      <c r="E63" s="369"/>
      <c r="F63" s="370"/>
      <c r="G63" s="399" t="s">
        <v>2064</v>
      </c>
    </row>
    <row r="64" spans="1:7" ht="26.25">
      <c r="A64" s="368" t="s">
        <v>2970</v>
      </c>
      <c r="B64" s="368" t="s">
        <v>2971</v>
      </c>
      <c r="C64" s="387" t="s">
        <v>2972</v>
      </c>
      <c r="D64" s="369" t="s">
        <v>1247</v>
      </c>
      <c r="E64" s="369"/>
      <c r="F64" s="370"/>
      <c r="G64" s="399" t="s">
        <v>2064</v>
      </c>
    </row>
    <row r="65" spans="1:7" ht="39">
      <c r="A65" s="368" t="s">
        <v>2973</v>
      </c>
      <c r="B65" s="368" t="s">
        <v>2974</v>
      </c>
      <c r="C65" s="387" t="s">
        <v>2975</v>
      </c>
      <c r="D65" s="369" t="s">
        <v>1247</v>
      </c>
      <c r="E65" s="369"/>
      <c r="F65" s="370"/>
      <c r="G65" s="399" t="s">
        <v>2064</v>
      </c>
    </row>
    <row r="66" spans="1:7" ht="26.25">
      <c r="A66" s="368" t="s">
        <v>2976</v>
      </c>
      <c r="B66" s="363" t="s">
        <v>2977</v>
      </c>
      <c r="C66" s="387" t="s">
        <v>2978</v>
      </c>
      <c r="D66" s="369" t="s">
        <v>1247</v>
      </c>
      <c r="E66" s="369"/>
      <c r="F66" s="370"/>
      <c r="G66" s="399" t="s">
        <v>2979</v>
      </c>
    </row>
    <row r="67" spans="1:7" ht="26.25">
      <c r="A67" s="368" t="s">
        <v>2980</v>
      </c>
      <c r="B67" s="368" t="s">
        <v>2981</v>
      </c>
      <c r="C67" s="387" t="s">
        <v>2982</v>
      </c>
      <c r="D67" s="369" t="s">
        <v>1247</v>
      </c>
      <c r="E67" s="369"/>
      <c r="F67" s="370"/>
      <c r="G67" s="399" t="s">
        <v>2983</v>
      </c>
    </row>
    <row r="68" spans="1:7" ht="26.25">
      <c r="A68" s="368" t="s">
        <v>2984</v>
      </c>
      <c r="B68" s="368" t="s">
        <v>2985</v>
      </c>
      <c r="C68" s="387" t="s">
        <v>2986</v>
      </c>
      <c r="D68" s="369" t="s">
        <v>1247</v>
      </c>
      <c r="E68" s="369"/>
      <c r="F68" s="370"/>
      <c r="G68" s="399" t="s">
        <v>2983</v>
      </c>
    </row>
    <row r="69" spans="1:7">
      <c r="A69" s="368" t="s">
        <v>2987</v>
      </c>
      <c r="B69" s="368" t="s">
        <v>2988</v>
      </c>
      <c r="C69" s="387" t="s">
        <v>2989</v>
      </c>
      <c r="D69" s="369" t="s">
        <v>1247</v>
      </c>
      <c r="E69" s="369"/>
      <c r="F69" s="370"/>
      <c r="G69" s="399" t="s">
        <v>2990</v>
      </c>
    </row>
    <row r="70" spans="1:7" ht="26.25">
      <c r="A70" s="368" t="s">
        <v>2991</v>
      </c>
      <c r="B70" s="368" t="s">
        <v>2992</v>
      </c>
      <c r="C70" s="387" t="s">
        <v>2993</v>
      </c>
      <c r="D70" s="369" t="s">
        <v>1247</v>
      </c>
      <c r="E70" s="369"/>
      <c r="F70" s="370"/>
      <c r="G70" s="399" t="s">
        <v>2990</v>
      </c>
    </row>
    <row r="71" spans="1:7" ht="39">
      <c r="A71" s="368" t="s">
        <v>2994</v>
      </c>
      <c r="B71" s="368" t="s">
        <v>2995</v>
      </c>
      <c r="C71" s="387" t="s">
        <v>2996</v>
      </c>
      <c r="D71" s="369" t="s">
        <v>1247</v>
      </c>
      <c r="E71" s="369"/>
      <c r="F71" s="370"/>
      <c r="G71" s="399" t="s">
        <v>2990</v>
      </c>
    </row>
    <row r="72" spans="1:7" ht="26.25">
      <c r="A72" s="368" t="s">
        <v>2997</v>
      </c>
      <c r="B72" s="368" t="s">
        <v>2998</v>
      </c>
      <c r="C72" s="387" t="s">
        <v>2999</v>
      </c>
      <c r="D72" s="369" t="s">
        <v>1247</v>
      </c>
      <c r="E72" s="369"/>
      <c r="F72" s="370"/>
      <c r="G72" s="399" t="s">
        <v>2990</v>
      </c>
    </row>
    <row r="73" spans="1:7" ht="26.25">
      <c r="A73" s="368" t="s">
        <v>3000</v>
      </c>
      <c r="B73" s="368" t="s">
        <v>3001</v>
      </c>
      <c r="C73" s="387" t="s">
        <v>3002</v>
      </c>
      <c r="D73" s="369" t="s">
        <v>1247</v>
      </c>
      <c r="E73" s="369"/>
      <c r="F73" s="370"/>
      <c r="G73" s="399" t="s">
        <v>2990</v>
      </c>
    </row>
    <row r="74" spans="1:7" ht="26.25">
      <c r="A74" s="368" t="s">
        <v>3003</v>
      </c>
      <c r="B74" s="368" t="s">
        <v>3004</v>
      </c>
      <c r="C74" s="387" t="s">
        <v>3005</v>
      </c>
      <c r="D74" s="369" t="s">
        <v>1247</v>
      </c>
      <c r="E74" s="369"/>
      <c r="F74" s="370"/>
      <c r="G74" s="399" t="s">
        <v>2990</v>
      </c>
    </row>
    <row r="75" spans="1:7" ht="26.25">
      <c r="A75" s="368" t="s">
        <v>3006</v>
      </c>
      <c r="B75" s="368" t="s">
        <v>3007</v>
      </c>
      <c r="C75" s="387" t="s">
        <v>3008</v>
      </c>
      <c r="D75" s="369" t="s">
        <v>1247</v>
      </c>
      <c r="E75" s="369"/>
      <c r="F75" s="370"/>
      <c r="G75" s="399" t="s">
        <v>2990</v>
      </c>
    </row>
    <row r="76" spans="1:7" ht="26.25">
      <c r="A76" s="368" t="s">
        <v>3009</v>
      </c>
      <c r="B76" s="368" t="s">
        <v>3010</v>
      </c>
      <c r="C76" s="387" t="s">
        <v>3011</v>
      </c>
      <c r="D76" s="369" t="s">
        <v>1247</v>
      </c>
      <c r="E76" s="369"/>
      <c r="F76" s="370"/>
      <c r="G76" s="399" t="s">
        <v>2990</v>
      </c>
    </row>
    <row r="77" spans="1:7" ht="26.25">
      <c r="A77" s="368" t="s">
        <v>3012</v>
      </c>
      <c r="B77" s="368" t="s">
        <v>3013</v>
      </c>
      <c r="C77" s="387" t="s">
        <v>3014</v>
      </c>
      <c r="D77" s="369" t="s">
        <v>1247</v>
      </c>
      <c r="E77" s="369"/>
      <c r="F77" s="370"/>
      <c r="G77" s="399" t="s">
        <v>2990</v>
      </c>
    </row>
    <row r="78" spans="1:7" ht="26.25">
      <c r="A78" s="368" t="s">
        <v>3015</v>
      </c>
      <c r="B78" s="368" t="s">
        <v>3016</v>
      </c>
      <c r="C78" s="387" t="s">
        <v>3017</v>
      </c>
      <c r="D78" s="369" t="s">
        <v>1247</v>
      </c>
      <c r="E78" s="369"/>
      <c r="F78" s="370"/>
      <c r="G78" s="399" t="s">
        <v>2990</v>
      </c>
    </row>
    <row r="79" spans="1:7" ht="26.25">
      <c r="A79" s="368" t="s">
        <v>3018</v>
      </c>
      <c r="B79" s="368" t="s">
        <v>3019</v>
      </c>
      <c r="C79" s="387" t="s">
        <v>3020</v>
      </c>
      <c r="D79" s="369" t="s">
        <v>1247</v>
      </c>
      <c r="E79" s="369"/>
      <c r="F79" s="370"/>
      <c r="G79" s="399" t="s">
        <v>2990</v>
      </c>
    </row>
    <row r="80" spans="1:7">
      <c r="A80" s="368" t="s">
        <v>3021</v>
      </c>
      <c r="B80" s="368" t="s">
        <v>3022</v>
      </c>
      <c r="C80" s="387" t="s">
        <v>3023</v>
      </c>
      <c r="D80" s="369" t="s">
        <v>1247</v>
      </c>
      <c r="E80" s="369"/>
      <c r="F80" s="370"/>
      <c r="G80" s="399" t="s">
        <v>2990</v>
      </c>
    </row>
    <row r="81" spans="1:7">
      <c r="A81" s="368" t="s">
        <v>3024</v>
      </c>
      <c r="B81" s="368" t="s">
        <v>3025</v>
      </c>
      <c r="C81" s="387" t="s">
        <v>3026</v>
      </c>
      <c r="D81" s="369" t="s">
        <v>1247</v>
      </c>
      <c r="E81" s="369"/>
      <c r="F81" s="370"/>
      <c r="G81" s="399" t="s">
        <v>2990</v>
      </c>
    </row>
    <row r="82" spans="1:7">
      <c r="A82" s="368" t="s">
        <v>3027</v>
      </c>
      <c r="B82" s="368" t="s">
        <v>3028</v>
      </c>
      <c r="C82" s="387" t="s">
        <v>3029</v>
      </c>
      <c r="D82" s="369" t="s">
        <v>1247</v>
      </c>
      <c r="E82" s="369"/>
      <c r="F82" s="370"/>
      <c r="G82" s="399" t="s">
        <v>3030</v>
      </c>
    </row>
    <row r="83" spans="1:7" ht="39">
      <c r="A83" s="368" t="s">
        <v>3031</v>
      </c>
      <c r="B83" s="368" t="s">
        <v>3032</v>
      </c>
      <c r="C83" s="387" t="s">
        <v>3033</v>
      </c>
      <c r="D83" s="369" t="s">
        <v>1247</v>
      </c>
      <c r="E83" s="369"/>
      <c r="F83" s="370"/>
      <c r="G83" s="399" t="s">
        <v>3030</v>
      </c>
    </row>
    <row r="84" spans="1:7">
      <c r="A84" s="368" t="s">
        <v>3034</v>
      </c>
      <c r="B84" s="368" t="s">
        <v>3035</v>
      </c>
      <c r="C84" s="387" t="s">
        <v>3036</v>
      </c>
      <c r="D84" s="369" t="s">
        <v>1247</v>
      </c>
      <c r="E84" s="369"/>
      <c r="F84" s="370"/>
      <c r="G84" s="399" t="s">
        <v>3030</v>
      </c>
    </row>
    <row r="85" spans="1:7" ht="39">
      <c r="A85" s="368" t="s">
        <v>3037</v>
      </c>
      <c r="B85" s="368" t="s">
        <v>3038</v>
      </c>
      <c r="C85" s="387" t="s">
        <v>3039</v>
      </c>
      <c r="D85" s="369" t="s">
        <v>1247</v>
      </c>
      <c r="E85" s="369"/>
      <c r="F85" s="370"/>
      <c r="G85" s="399" t="s">
        <v>3030</v>
      </c>
    </row>
    <row r="86" spans="1:7" ht="26.25">
      <c r="A86" s="368" t="s">
        <v>3040</v>
      </c>
      <c r="B86" s="373" t="s">
        <v>3040</v>
      </c>
      <c r="C86" s="387" t="s">
        <v>3041</v>
      </c>
      <c r="D86" s="369" t="s">
        <v>1247</v>
      </c>
      <c r="E86" s="369"/>
      <c r="F86" s="370"/>
      <c r="G86" s="399" t="s">
        <v>3042</v>
      </c>
    </row>
    <row r="87" spans="1:7" ht="39">
      <c r="A87" s="368" t="s">
        <v>3043</v>
      </c>
      <c r="B87" s="368" t="s">
        <v>3044</v>
      </c>
      <c r="C87" s="387" t="s">
        <v>3045</v>
      </c>
      <c r="D87" s="369" t="s">
        <v>1247</v>
      </c>
      <c r="E87" s="369"/>
      <c r="F87" s="370"/>
      <c r="G87" s="399" t="s">
        <v>3046</v>
      </c>
    </row>
    <row r="88" spans="1:7">
      <c r="A88" s="368" t="s">
        <v>3047</v>
      </c>
      <c r="B88" s="368" t="s">
        <v>3048</v>
      </c>
      <c r="C88" s="387" t="s">
        <v>3049</v>
      </c>
      <c r="D88" s="369" t="s">
        <v>1247</v>
      </c>
      <c r="E88" s="369"/>
      <c r="F88" s="370"/>
      <c r="G88" s="399" t="s">
        <v>3050</v>
      </c>
    </row>
    <row r="89" spans="1:7" ht="26.25">
      <c r="A89" s="368" t="s">
        <v>3051</v>
      </c>
      <c r="B89" s="368" t="s">
        <v>3052</v>
      </c>
      <c r="C89" s="387" t="s">
        <v>3053</v>
      </c>
      <c r="D89" s="369" t="s">
        <v>1247</v>
      </c>
      <c r="E89" s="369"/>
      <c r="F89" s="370"/>
      <c r="G89" s="399" t="s">
        <v>1928</v>
      </c>
    </row>
    <row r="90" spans="1:7">
      <c r="A90" s="368" t="s">
        <v>3054</v>
      </c>
      <c r="B90" s="368" t="s">
        <v>3055</v>
      </c>
      <c r="C90" s="387" t="s">
        <v>3056</v>
      </c>
      <c r="D90" s="369" t="s">
        <v>1247</v>
      </c>
      <c r="E90" s="369"/>
      <c r="F90" s="370"/>
      <c r="G90" s="399" t="s">
        <v>1975</v>
      </c>
    </row>
    <row r="91" spans="1:7" ht="26.25">
      <c r="A91" s="368" t="s">
        <v>3057</v>
      </c>
      <c r="B91" s="368" t="s">
        <v>3058</v>
      </c>
      <c r="C91" s="387" t="s">
        <v>3059</v>
      </c>
      <c r="D91" s="369" t="s">
        <v>1247</v>
      </c>
      <c r="E91" s="369"/>
      <c r="F91" s="370"/>
      <c r="G91" s="399" t="s">
        <v>3060</v>
      </c>
    </row>
    <row r="92" spans="1:7" ht="26.25">
      <c r="A92" s="368" t="s">
        <v>3061</v>
      </c>
      <c r="B92" s="382" t="s">
        <v>3061</v>
      </c>
      <c r="C92" s="387" t="s">
        <v>3062</v>
      </c>
      <c r="D92" s="369" t="s">
        <v>1247</v>
      </c>
      <c r="E92" s="369"/>
      <c r="F92" s="370"/>
      <c r="G92" s="399" t="s">
        <v>3063</v>
      </c>
    </row>
    <row r="93" spans="1:7" ht="26.25">
      <c r="A93" s="368" t="s">
        <v>3064</v>
      </c>
      <c r="B93" s="368" t="s">
        <v>3065</v>
      </c>
      <c r="C93" s="387" t="s">
        <v>3066</v>
      </c>
      <c r="D93" s="369" t="s">
        <v>1247</v>
      </c>
      <c r="E93" s="369"/>
      <c r="F93" s="370"/>
      <c r="G93" s="399" t="s">
        <v>3067</v>
      </c>
    </row>
    <row r="94" spans="1:7" ht="26.25">
      <c r="A94" s="368" t="s">
        <v>3068</v>
      </c>
      <c r="B94" s="373" t="s">
        <v>3068</v>
      </c>
      <c r="C94" s="387" t="s">
        <v>3069</v>
      </c>
      <c r="D94" s="369" t="s">
        <v>1247</v>
      </c>
      <c r="E94" s="369"/>
      <c r="F94" s="370"/>
      <c r="G94" s="399" t="s">
        <v>3070</v>
      </c>
    </row>
    <row r="95" spans="1:7" ht="26.25">
      <c r="A95" s="368" t="s">
        <v>3071</v>
      </c>
      <c r="B95" s="373" t="s">
        <v>3071</v>
      </c>
      <c r="C95" s="387" t="s">
        <v>3072</v>
      </c>
      <c r="D95" s="369" t="s">
        <v>1247</v>
      </c>
      <c r="E95" s="369"/>
      <c r="F95" s="370"/>
      <c r="G95" s="399" t="s">
        <v>3070</v>
      </c>
    </row>
    <row r="96" spans="1:7">
      <c r="A96" s="368" t="s">
        <v>3073</v>
      </c>
      <c r="B96" s="373" t="s">
        <v>3073</v>
      </c>
      <c r="C96" s="387" t="s">
        <v>3074</v>
      </c>
      <c r="D96" s="369" t="s">
        <v>1247</v>
      </c>
      <c r="E96" s="369"/>
      <c r="F96" s="370"/>
      <c r="G96" s="399" t="s">
        <v>1975</v>
      </c>
    </row>
    <row r="97" spans="1:7" ht="26.25">
      <c r="A97" s="368" t="s">
        <v>3075</v>
      </c>
      <c r="B97" s="373" t="s">
        <v>3075</v>
      </c>
      <c r="C97" s="387" t="s">
        <v>3076</v>
      </c>
      <c r="D97" s="369" t="s">
        <v>1247</v>
      </c>
      <c r="E97" s="369"/>
      <c r="F97" s="370"/>
      <c r="G97" s="399" t="s">
        <v>3077</v>
      </c>
    </row>
    <row r="98" spans="1:7">
      <c r="A98" s="368" t="s">
        <v>3078</v>
      </c>
      <c r="B98" s="373" t="s">
        <v>3078</v>
      </c>
      <c r="C98" s="387" t="s">
        <v>3079</v>
      </c>
      <c r="D98" s="369" t="s">
        <v>1247</v>
      </c>
      <c r="E98" s="369"/>
      <c r="F98" s="370"/>
      <c r="G98" s="399" t="s">
        <v>3077</v>
      </c>
    </row>
    <row r="99" spans="1:7">
      <c r="A99" s="368" t="s">
        <v>3080</v>
      </c>
      <c r="B99" s="368" t="s">
        <v>3081</v>
      </c>
      <c r="C99" s="387" t="s">
        <v>3082</v>
      </c>
      <c r="D99" s="369" t="s">
        <v>1247</v>
      </c>
      <c r="E99" s="369"/>
      <c r="F99" s="370"/>
      <c r="G99" s="399" t="s">
        <v>3083</v>
      </c>
    </row>
    <row r="100" spans="1:7">
      <c r="A100" s="368" t="s">
        <v>3084</v>
      </c>
      <c r="B100" s="368" t="s">
        <v>3085</v>
      </c>
      <c r="C100" s="387" t="s">
        <v>3086</v>
      </c>
      <c r="D100" s="369" t="s">
        <v>1247</v>
      </c>
      <c r="E100" s="369"/>
      <c r="F100" s="370"/>
      <c r="G100" s="399" t="s">
        <v>3087</v>
      </c>
    </row>
    <row r="101" spans="1:7">
      <c r="A101" s="368" t="s">
        <v>3088</v>
      </c>
      <c r="B101" s="368" t="s">
        <v>3089</v>
      </c>
      <c r="C101" s="387" t="s">
        <v>3090</v>
      </c>
      <c r="D101" s="369" t="s">
        <v>1247</v>
      </c>
      <c r="E101" s="369"/>
      <c r="F101" s="370"/>
      <c r="G101" s="399" t="s">
        <v>3091</v>
      </c>
    </row>
    <row r="102" spans="1:7">
      <c r="A102" s="368" t="s">
        <v>3092</v>
      </c>
      <c r="B102" s="373" t="s">
        <v>3092</v>
      </c>
      <c r="C102" s="387" t="s">
        <v>3093</v>
      </c>
      <c r="D102" s="369" t="s">
        <v>1247</v>
      </c>
      <c r="E102" s="369"/>
      <c r="F102" s="370"/>
      <c r="G102" s="399" t="s">
        <v>3094</v>
      </c>
    </row>
    <row r="103" spans="1:7">
      <c r="A103" s="368" t="s">
        <v>3095</v>
      </c>
      <c r="B103" s="363" t="s">
        <v>3096</v>
      </c>
      <c r="C103" s="387" t="s">
        <v>3097</v>
      </c>
      <c r="D103" s="369" t="s">
        <v>1247</v>
      </c>
      <c r="E103" s="369"/>
      <c r="F103" s="370"/>
      <c r="G103" s="399" t="s">
        <v>3077</v>
      </c>
    </row>
    <row r="104" spans="1:7" ht="26.25">
      <c r="A104" s="368" t="s">
        <v>3098</v>
      </c>
      <c r="B104" s="368" t="s">
        <v>3099</v>
      </c>
      <c r="C104" s="387" t="s">
        <v>3100</v>
      </c>
      <c r="D104" s="369" t="s">
        <v>1247</v>
      </c>
      <c r="E104" s="369"/>
      <c r="F104" s="370"/>
      <c r="G104" s="399" t="s">
        <v>3101</v>
      </c>
    </row>
    <row r="105" spans="1:7">
      <c r="A105" s="368" t="s">
        <v>3102</v>
      </c>
      <c r="B105" s="373" t="s">
        <v>3102</v>
      </c>
      <c r="C105" s="387" t="s">
        <v>3103</v>
      </c>
      <c r="D105" s="369" t="s">
        <v>1247</v>
      </c>
      <c r="E105" s="369"/>
      <c r="F105" s="370"/>
      <c r="G105" s="399" t="s">
        <v>3104</v>
      </c>
    </row>
    <row r="106" spans="1:7">
      <c r="A106" s="368" t="s">
        <v>3105</v>
      </c>
      <c r="B106" s="373" t="s">
        <v>3105</v>
      </c>
      <c r="C106" s="387" t="s">
        <v>3106</v>
      </c>
      <c r="D106" s="369" t="s">
        <v>1247</v>
      </c>
      <c r="E106" s="369"/>
      <c r="F106" s="370"/>
      <c r="G106" s="399" t="s">
        <v>3101</v>
      </c>
    </row>
    <row r="107" spans="1:7" ht="26.25">
      <c r="A107" s="368" t="s">
        <v>3107</v>
      </c>
      <c r="B107" s="373" t="s">
        <v>3107</v>
      </c>
      <c r="C107" s="387" t="s">
        <v>3108</v>
      </c>
      <c r="D107" s="369" t="s">
        <v>1247</v>
      </c>
      <c r="E107" s="369"/>
      <c r="F107" s="370"/>
      <c r="G107" s="399" t="s">
        <v>3109</v>
      </c>
    </row>
    <row r="108" spans="1:7">
      <c r="A108" s="368" t="s">
        <v>3110</v>
      </c>
      <c r="B108" s="368" t="s">
        <v>3111</v>
      </c>
      <c r="C108" s="387" t="s">
        <v>3112</v>
      </c>
      <c r="D108" s="369" t="s">
        <v>1247</v>
      </c>
      <c r="E108" s="369"/>
      <c r="F108" s="370"/>
      <c r="G108" s="399" t="s">
        <v>3113</v>
      </c>
    </row>
    <row r="109" spans="1:7" ht="26.25">
      <c r="A109" s="368" t="s">
        <v>3114</v>
      </c>
      <c r="B109" s="373" t="s">
        <v>3114</v>
      </c>
      <c r="C109" s="387" t="s">
        <v>3115</v>
      </c>
      <c r="D109" s="369" t="s">
        <v>1247</v>
      </c>
      <c r="E109" s="369"/>
      <c r="F109" s="370"/>
      <c r="G109" s="399" t="s">
        <v>3116</v>
      </c>
    </row>
    <row r="110" spans="1:7">
      <c r="A110" s="368" t="s">
        <v>3117</v>
      </c>
      <c r="B110" s="373" t="s">
        <v>3117</v>
      </c>
      <c r="C110" s="387" t="s">
        <v>3118</v>
      </c>
      <c r="D110" s="369" t="s">
        <v>1247</v>
      </c>
      <c r="E110" s="369"/>
      <c r="F110" s="370"/>
      <c r="G110" s="399" t="s">
        <v>3119</v>
      </c>
    </row>
    <row r="111" spans="1:7" ht="26.25">
      <c r="A111" s="368" t="s">
        <v>3120</v>
      </c>
      <c r="B111" s="373" t="s">
        <v>3120</v>
      </c>
      <c r="C111" s="387" t="s">
        <v>3121</v>
      </c>
      <c r="D111" s="369" t="s">
        <v>1247</v>
      </c>
      <c r="E111" s="369"/>
      <c r="F111" s="370"/>
      <c r="G111" s="399" t="s">
        <v>3122</v>
      </c>
    </row>
    <row r="112" spans="1:7">
      <c r="A112" s="368" t="s">
        <v>3123</v>
      </c>
      <c r="B112" s="373" t="s">
        <v>3123</v>
      </c>
      <c r="C112" s="387" t="s">
        <v>3124</v>
      </c>
      <c r="D112" s="369" t="s">
        <v>1247</v>
      </c>
      <c r="E112" s="369"/>
      <c r="F112" s="370"/>
      <c r="G112" s="399" t="s">
        <v>3125</v>
      </c>
    </row>
    <row r="113" spans="1:8">
      <c r="A113" s="368" t="s">
        <v>3126</v>
      </c>
      <c r="B113" s="373" t="s">
        <v>3126</v>
      </c>
      <c r="C113" s="387" t="s">
        <v>3127</v>
      </c>
      <c r="D113" s="369" t="s">
        <v>1247</v>
      </c>
      <c r="E113" s="369"/>
      <c r="F113" s="370"/>
      <c r="G113" s="399" t="s">
        <v>3083</v>
      </c>
    </row>
    <row r="114" spans="1:8">
      <c r="A114" s="368" t="s">
        <v>3128</v>
      </c>
      <c r="B114" s="373" t="s">
        <v>3128</v>
      </c>
      <c r="C114" s="387" t="s">
        <v>3129</v>
      </c>
      <c r="D114" s="369" t="s">
        <v>1247</v>
      </c>
      <c r="E114" s="369"/>
      <c r="F114" s="370"/>
      <c r="G114" s="399" t="s">
        <v>3130</v>
      </c>
    </row>
    <row r="115" spans="1:8" ht="39">
      <c r="A115" s="368" t="s">
        <v>3131</v>
      </c>
      <c r="B115" s="382" t="s">
        <v>3131</v>
      </c>
      <c r="C115" s="387" t="s">
        <v>3132</v>
      </c>
      <c r="D115" s="369" t="s">
        <v>1247</v>
      </c>
      <c r="E115" s="369"/>
      <c r="F115" s="370"/>
      <c r="G115" s="399" t="s">
        <v>3133</v>
      </c>
    </row>
    <row r="116" spans="1:8">
      <c r="A116" s="368" t="s">
        <v>3134</v>
      </c>
      <c r="B116" s="368" t="s">
        <v>3135</v>
      </c>
      <c r="C116" s="387" t="s">
        <v>3136</v>
      </c>
      <c r="D116" s="369" t="s">
        <v>1247</v>
      </c>
      <c r="E116" s="369"/>
      <c r="F116" s="370"/>
      <c r="G116" s="399" t="s">
        <v>3137</v>
      </c>
    </row>
    <row r="117" spans="1:8">
      <c r="A117" s="368" t="s">
        <v>3138</v>
      </c>
      <c r="B117" s="379" t="s">
        <v>3139</v>
      </c>
      <c r="C117" s="387" t="s">
        <v>3140</v>
      </c>
      <c r="D117" s="369" t="s">
        <v>1247</v>
      </c>
      <c r="E117" s="369"/>
      <c r="F117" s="370"/>
      <c r="G117" s="399" t="s">
        <v>3083</v>
      </c>
    </row>
    <row r="118" spans="1:8" ht="51.75">
      <c r="A118" s="368" t="s">
        <v>3141</v>
      </c>
      <c r="B118" s="368" t="s">
        <v>3142</v>
      </c>
      <c r="C118" s="387" t="s">
        <v>3143</v>
      </c>
      <c r="D118" s="369" t="s">
        <v>1247</v>
      </c>
      <c r="E118" s="369"/>
      <c r="F118" s="370"/>
      <c r="G118" s="399" t="s">
        <v>3144</v>
      </c>
    </row>
    <row r="119" spans="1:8" ht="26.25">
      <c r="A119" s="368" t="s">
        <v>3145</v>
      </c>
      <c r="B119" s="368" t="s">
        <v>3146</v>
      </c>
      <c r="C119" s="387" t="s">
        <v>3147</v>
      </c>
      <c r="D119" s="369" t="s">
        <v>1247</v>
      </c>
      <c r="E119" s="369"/>
      <c r="F119" s="370"/>
      <c r="G119" s="399" t="s">
        <v>3148</v>
      </c>
    </row>
    <row r="120" spans="1:8">
      <c r="A120" s="368" t="s">
        <v>3149</v>
      </c>
      <c r="B120" s="379" t="s">
        <v>3150</v>
      </c>
      <c r="C120" s="387" t="s">
        <v>3151</v>
      </c>
      <c r="D120" s="369" t="s">
        <v>1247</v>
      </c>
      <c r="E120" s="369"/>
      <c r="F120" s="370"/>
      <c r="G120" s="399" t="s">
        <v>3083</v>
      </c>
    </row>
    <row r="121" spans="1:8">
      <c r="A121" s="366" t="s">
        <v>3152</v>
      </c>
      <c r="B121" s="363" t="s">
        <v>3153</v>
      </c>
      <c r="C121" s="392" t="s">
        <v>3154</v>
      </c>
      <c r="D121" s="369" t="s">
        <v>1247</v>
      </c>
      <c r="E121" s="149"/>
      <c r="F121" s="139"/>
      <c r="G121" s="380" t="s">
        <v>3155</v>
      </c>
    </row>
    <row r="122" spans="1:8" ht="26.25">
      <c r="A122" s="368" t="s">
        <v>3156</v>
      </c>
      <c r="B122" s="373" t="s">
        <v>3156</v>
      </c>
      <c r="C122" s="387" t="s">
        <v>3157</v>
      </c>
      <c r="D122" s="369" t="s">
        <v>1247</v>
      </c>
      <c r="E122" s="369"/>
      <c r="F122" s="370"/>
      <c r="G122" s="399" t="s">
        <v>3137</v>
      </c>
    </row>
    <row r="123" spans="1:8" ht="51.75">
      <c r="A123" s="368" t="s">
        <v>3158</v>
      </c>
      <c r="B123" s="368" t="s">
        <v>3159</v>
      </c>
      <c r="C123" s="387" t="s">
        <v>3160</v>
      </c>
      <c r="D123" s="369" t="s">
        <v>1247</v>
      </c>
      <c r="E123" s="369"/>
      <c r="F123" s="370"/>
      <c r="G123" s="399" t="s">
        <v>3161</v>
      </c>
    </row>
    <row r="124" spans="1:8" ht="26.25">
      <c r="A124" s="368" t="s">
        <v>3162</v>
      </c>
      <c r="B124" s="373" t="s">
        <v>3162</v>
      </c>
      <c r="C124" s="387" t="s">
        <v>3163</v>
      </c>
      <c r="D124" s="369" t="s">
        <v>1247</v>
      </c>
      <c r="E124" s="369"/>
      <c r="F124" s="370"/>
      <c r="G124" s="399" t="s">
        <v>3164</v>
      </c>
    </row>
    <row r="125" spans="1:8">
      <c r="A125" s="368" t="s">
        <v>3165</v>
      </c>
      <c r="B125" s="373" t="s">
        <v>3165</v>
      </c>
      <c r="C125" s="387" t="s">
        <v>3166</v>
      </c>
      <c r="D125" s="369" t="s">
        <v>1247</v>
      </c>
      <c r="E125" s="369"/>
      <c r="F125" s="370"/>
      <c r="G125" s="399" t="s">
        <v>3167</v>
      </c>
    </row>
    <row r="126" spans="1:8">
      <c r="A126" s="368" t="s">
        <v>3168</v>
      </c>
      <c r="B126" s="373" t="s">
        <v>3168</v>
      </c>
      <c r="C126" s="387" t="s">
        <v>3169</v>
      </c>
      <c r="D126" s="369" t="s">
        <v>1247</v>
      </c>
      <c r="E126" s="369"/>
      <c r="F126" s="370"/>
      <c r="G126" s="399" t="s">
        <v>3137</v>
      </c>
    </row>
    <row r="127" spans="1:8">
      <c r="A127" s="368" t="s">
        <v>3170</v>
      </c>
      <c r="B127" s="373" t="s">
        <v>3170</v>
      </c>
      <c r="C127" s="387" t="s">
        <v>3171</v>
      </c>
      <c r="D127" s="369" t="s">
        <v>1247</v>
      </c>
      <c r="E127" s="369"/>
      <c r="F127" s="370"/>
      <c r="G127" s="399" t="s">
        <v>3083</v>
      </c>
    </row>
    <row r="128" spans="1:8">
      <c r="A128" s="368" t="s">
        <v>3172</v>
      </c>
      <c r="B128" s="371" t="s">
        <v>3173</v>
      </c>
      <c r="C128" s="387" t="s">
        <v>3174</v>
      </c>
      <c r="D128" s="369" t="s">
        <v>1946</v>
      </c>
      <c r="E128" s="369" t="s">
        <v>3175</v>
      </c>
      <c r="F128" s="370">
        <v>3</v>
      </c>
      <c r="G128" s="399" t="s">
        <v>3176</v>
      </c>
      <c r="H128" s="366"/>
    </row>
    <row r="129" spans="1:8" ht="25.5">
      <c r="A129" s="366" t="s">
        <v>3177</v>
      </c>
      <c r="B129" s="243" t="s">
        <v>3178</v>
      </c>
      <c r="C129" s="386" t="s">
        <v>3179</v>
      </c>
      <c r="D129" s="149" t="s">
        <v>1946</v>
      </c>
      <c r="E129" s="369" t="s">
        <v>3180</v>
      </c>
      <c r="F129" s="139">
        <v>4</v>
      </c>
      <c r="G129" s="380" t="s">
        <v>1563</v>
      </c>
      <c r="H129" s="368"/>
    </row>
    <row r="130" spans="1:8" ht="26.25">
      <c r="A130" s="368" t="s">
        <v>3181</v>
      </c>
      <c r="B130" s="243" t="s">
        <v>3182</v>
      </c>
      <c r="C130" s="387" t="s">
        <v>3183</v>
      </c>
      <c r="D130" s="369" t="s">
        <v>1946</v>
      </c>
      <c r="E130" s="369" t="s">
        <v>3184</v>
      </c>
      <c r="F130" s="370">
        <v>4</v>
      </c>
      <c r="G130" s="399" t="s">
        <v>2131</v>
      </c>
      <c r="H130" s="368"/>
    </row>
    <row r="131" spans="1:8" ht="26.25">
      <c r="A131" s="368" t="s">
        <v>3185</v>
      </c>
      <c r="B131" s="372" t="s">
        <v>3186</v>
      </c>
      <c r="C131" s="387" t="s">
        <v>3187</v>
      </c>
      <c r="D131" s="369" t="s">
        <v>1946</v>
      </c>
      <c r="E131" s="369" t="s">
        <v>3188</v>
      </c>
      <c r="F131" s="370">
        <v>4</v>
      </c>
      <c r="G131" s="399" t="s">
        <v>2260</v>
      </c>
      <c r="H131" s="366"/>
    </row>
    <row r="132" spans="1:8" ht="39">
      <c r="A132" s="368" t="s">
        <v>3189</v>
      </c>
      <c r="B132" s="368" t="s">
        <v>3190</v>
      </c>
      <c r="C132" s="387" t="s">
        <v>3191</v>
      </c>
      <c r="D132" s="369" t="s">
        <v>1946</v>
      </c>
      <c r="E132" s="369" t="s">
        <v>3192</v>
      </c>
      <c r="F132" s="370">
        <v>3</v>
      </c>
      <c r="G132" s="399" t="s">
        <v>2320</v>
      </c>
      <c r="H132" s="368"/>
    </row>
    <row r="133" spans="1:8">
      <c r="A133" s="368" t="s">
        <v>3193</v>
      </c>
      <c r="B133" s="368" t="s">
        <v>3194</v>
      </c>
      <c r="C133" s="387" t="s">
        <v>3195</v>
      </c>
      <c r="D133" s="369" t="s">
        <v>1946</v>
      </c>
      <c r="E133" s="368" t="s">
        <v>3196</v>
      </c>
      <c r="F133" s="370">
        <v>0</v>
      </c>
      <c r="G133" s="399" t="s">
        <v>2320</v>
      </c>
      <c r="H133" s="368"/>
    </row>
    <row r="134" spans="1:8" ht="26.25">
      <c r="A134" s="368" t="s">
        <v>2621</v>
      </c>
      <c r="B134" s="371" t="s">
        <v>2622</v>
      </c>
      <c r="C134" s="387" t="s">
        <v>3197</v>
      </c>
      <c r="D134" s="369" t="s">
        <v>1946</v>
      </c>
      <c r="E134" s="369" t="s">
        <v>3175</v>
      </c>
      <c r="F134" s="370">
        <v>5</v>
      </c>
      <c r="G134" s="399" t="s">
        <v>2611</v>
      </c>
      <c r="H134" s="368"/>
    </row>
    <row r="135" spans="1:8" ht="25.5">
      <c r="A135" s="366" t="s">
        <v>3198</v>
      </c>
      <c r="B135" s="366" t="s">
        <v>3199</v>
      </c>
      <c r="C135" s="386" t="s">
        <v>3200</v>
      </c>
      <c r="D135" s="369" t="s">
        <v>1247</v>
      </c>
      <c r="E135" s="149"/>
      <c r="F135" s="139"/>
      <c r="G135" s="380" t="s">
        <v>3201</v>
      </c>
      <c r="H135" s="368"/>
    </row>
    <row r="136" spans="1:8" ht="26.25">
      <c r="A136" s="368" t="s">
        <v>3202</v>
      </c>
      <c r="B136" s="368" t="s">
        <v>3203</v>
      </c>
      <c r="C136" s="387" t="s">
        <v>3204</v>
      </c>
      <c r="D136" s="369" t="s">
        <v>1247</v>
      </c>
      <c r="E136" s="369"/>
      <c r="F136" s="370"/>
      <c r="G136" s="399" t="s">
        <v>3205</v>
      </c>
      <c r="H136" s="368"/>
    </row>
    <row r="137" spans="1:8" ht="26.25">
      <c r="A137" s="368" t="s">
        <v>3206</v>
      </c>
      <c r="B137" s="373" t="s">
        <v>3206</v>
      </c>
      <c r="C137" s="387" t="s">
        <v>3207</v>
      </c>
      <c r="D137" s="369" t="s">
        <v>1247</v>
      </c>
      <c r="E137" s="369"/>
      <c r="F137" s="370"/>
      <c r="G137" s="399" t="s">
        <v>2071</v>
      </c>
      <c r="H137" s="368"/>
    </row>
    <row r="138" spans="1:8" ht="26.25">
      <c r="A138" s="368" t="s">
        <v>3208</v>
      </c>
      <c r="B138" s="368" t="s">
        <v>3209</v>
      </c>
      <c r="C138" s="387" t="s">
        <v>3210</v>
      </c>
      <c r="D138" s="369" t="s">
        <v>1247</v>
      </c>
      <c r="E138" s="369"/>
      <c r="F138" s="370"/>
      <c r="G138" s="399" t="s">
        <v>3030</v>
      </c>
      <c r="H138" s="368"/>
    </row>
    <row r="139" spans="1:8">
      <c r="A139" s="368" t="s">
        <v>3211</v>
      </c>
      <c r="B139" s="373" t="s">
        <v>3211</v>
      </c>
      <c r="C139" s="387" t="s">
        <v>3212</v>
      </c>
      <c r="D139" s="369" t="s">
        <v>1247</v>
      </c>
      <c r="E139" s="369"/>
      <c r="F139" s="370"/>
      <c r="G139" s="399" t="s">
        <v>3213</v>
      </c>
      <c r="H139" s="368"/>
    </row>
    <row r="140" spans="1:8" ht="26.25">
      <c r="A140" s="368" t="s">
        <v>3214</v>
      </c>
      <c r="B140" s="373" t="s">
        <v>3214</v>
      </c>
      <c r="C140" s="387" t="s">
        <v>3215</v>
      </c>
      <c r="D140" s="369" t="s">
        <v>1247</v>
      </c>
      <c r="E140" s="369"/>
      <c r="F140" s="370"/>
      <c r="G140" s="399" t="s">
        <v>3216</v>
      </c>
      <c r="H140" s="368"/>
    </row>
    <row r="141" spans="1:8">
      <c r="A141" s="368" t="s">
        <v>3217</v>
      </c>
      <c r="B141" s="368" t="s">
        <v>3218</v>
      </c>
      <c r="C141" s="387" t="s">
        <v>3219</v>
      </c>
      <c r="D141" s="369" t="s">
        <v>1247</v>
      </c>
      <c r="E141" s="369"/>
      <c r="F141" s="370"/>
      <c r="G141" s="399" t="s">
        <v>3220</v>
      </c>
      <c r="H141" s="368"/>
    </row>
    <row r="142" spans="1:8" ht="39">
      <c r="A142" s="368" t="s">
        <v>3221</v>
      </c>
      <c r="B142" s="368" t="s">
        <v>3222</v>
      </c>
      <c r="C142" s="387" t="s">
        <v>3223</v>
      </c>
      <c r="D142" s="369" t="s">
        <v>1247</v>
      </c>
      <c r="E142" s="369"/>
      <c r="F142" s="370"/>
      <c r="G142" s="399" t="s">
        <v>1960</v>
      </c>
      <c r="H142" s="368"/>
    </row>
    <row r="143" spans="1:8">
      <c r="A143" s="368" t="s">
        <v>3224</v>
      </c>
      <c r="B143" s="368" t="s">
        <v>3225</v>
      </c>
      <c r="C143" s="387" t="s">
        <v>3226</v>
      </c>
      <c r="D143" s="369" t="s">
        <v>1247</v>
      </c>
      <c r="E143" s="369"/>
      <c r="F143" s="370"/>
      <c r="G143" s="368" t="s">
        <v>3227</v>
      </c>
      <c r="H143" s="368"/>
    </row>
    <row r="144" spans="1:8">
      <c r="A144" s="366" t="s">
        <v>3228</v>
      </c>
      <c r="B144" s="366" t="s">
        <v>3229</v>
      </c>
      <c r="C144" s="386" t="s">
        <v>3230</v>
      </c>
      <c r="D144" s="367" t="s">
        <v>1247</v>
      </c>
      <c r="E144" s="149" t="s">
        <v>3231</v>
      </c>
      <c r="F144" s="139"/>
      <c r="G144" s="366" t="s">
        <v>3232</v>
      </c>
      <c r="H144" s="368"/>
    </row>
    <row r="145" spans="1:8">
      <c r="A145" s="368" t="s">
        <v>3233</v>
      </c>
      <c r="B145" s="368" t="s">
        <v>3234</v>
      </c>
      <c r="C145" s="387" t="s">
        <v>3235</v>
      </c>
      <c r="D145" s="369" t="s">
        <v>1247</v>
      </c>
      <c r="E145" s="369"/>
      <c r="F145" s="370"/>
      <c r="G145" s="368" t="s">
        <v>3236</v>
      </c>
    </row>
    <row r="146" spans="1:8">
      <c r="A146" s="366" t="s">
        <v>3237</v>
      </c>
      <c r="B146" s="366" t="s">
        <v>3238</v>
      </c>
      <c r="C146" s="386" t="s">
        <v>3239</v>
      </c>
      <c r="D146" s="367" t="s">
        <v>1247</v>
      </c>
      <c r="E146" s="149"/>
      <c r="F146" s="139"/>
      <c r="G146" s="366" t="s">
        <v>3236</v>
      </c>
    </row>
    <row r="147" spans="1:8" ht="26.25">
      <c r="A147" s="368" t="s">
        <v>3240</v>
      </c>
      <c r="B147" s="373" t="s">
        <v>3240</v>
      </c>
      <c r="C147" s="387" t="s">
        <v>3241</v>
      </c>
      <c r="D147" s="369" t="s">
        <v>1247</v>
      </c>
      <c r="E147" s="369"/>
      <c r="F147" s="370"/>
      <c r="G147" s="368" t="s">
        <v>3242</v>
      </c>
    </row>
    <row r="148" spans="1:8" ht="26.25">
      <c r="A148" s="368" t="s">
        <v>3243</v>
      </c>
      <c r="B148" s="373" t="s">
        <v>3243</v>
      </c>
      <c r="C148" s="387" t="s">
        <v>3244</v>
      </c>
      <c r="D148" s="369" t="s">
        <v>1247</v>
      </c>
      <c r="E148" s="369"/>
      <c r="F148" s="370"/>
      <c r="G148" s="368" t="s">
        <v>3242</v>
      </c>
    </row>
    <row r="149" spans="1:8">
      <c r="A149" s="368" t="s">
        <v>3245</v>
      </c>
      <c r="B149" s="373" t="s">
        <v>3245</v>
      </c>
      <c r="C149" s="387" t="s">
        <v>3246</v>
      </c>
      <c r="D149" s="369" t="s">
        <v>1247</v>
      </c>
      <c r="E149" s="369"/>
      <c r="F149" s="370"/>
      <c r="G149" s="368" t="s">
        <v>3242</v>
      </c>
    </row>
    <row r="150" spans="1:8" ht="26.25">
      <c r="A150" s="368" t="s">
        <v>3247</v>
      </c>
      <c r="B150" s="368" t="s">
        <v>3248</v>
      </c>
      <c r="C150" s="387" t="s">
        <v>3249</v>
      </c>
      <c r="D150" s="369" t="s">
        <v>1247</v>
      </c>
      <c r="E150" s="369"/>
      <c r="F150" s="370"/>
      <c r="G150" s="368" t="s">
        <v>3242</v>
      </c>
    </row>
    <row r="151" spans="1:8">
      <c r="A151" s="368" t="s">
        <v>3250</v>
      </c>
      <c r="B151" s="368" t="s">
        <v>3251</v>
      </c>
      <c r="C151" s="387" t="s">
        <v>3252</v>
      </c>
      <c r="D151" s="369" t="s">
        <v>1247</v>
      </c>
      <c r="E151" s="369"/>
      <c r="F151" s="370"/>
      <c r="G151" s="368" t="s">
        <v>3242</v>
      </c>
    </row>
    <row r="152" spans="1:8" ht="26.25">
      <c r="A152" s="368" t="s">
        <v>3253</v>
      </c>
      <c r="B152" s="368" t="s">
        <v>3254</v>
      </c>
      <c r="C152" s="387" t="s">
        <v>3255</v>
      </c>
      <c r="D152" s="369" t="s">
        <v>1247</v>
      </c>
      <c r="E152" s="369"/>
      <c r="F152" s="370"/>
      <c r="G152" s="368" t="s">
        <v>3256</v>
      </c>
    </row>
    <row r="153" spans="1:8">
      <c r="A153" s="368" t="s">
        <v>3257</v>
      </c>
      <c r="B153" s="368" t="s">
        <v>3258</v>
      </c>
      <c r="C153" s="387" t="s">
        <v>3259</v>
      </c>
      <c r="D153" s="369" t="s">
        <v>1247</v>
      </c>
      <c r="E153" s="369"/>
      <c r="F153" s="370"/>
      <c r="G153" s="368" t="s">
        <v>3256</v>
      </c>
    </row>
    <row r="154" spans="1:8" ht="25.5">
      <c r="A154" s="366" t="s">
        <v>3260</v>
      </c>
      <c r="B154" s="366" t="s">
        <v>3261</v>
      </c>
      <c r="C154" s="386" t="s">
        <v>3262</v>
      </c>
      <c r="D154" s="367" t="s">
        <v>1247</v>
      </c>
      <c r="E154" s="378" t="s">
        <v>1860</v>
      </c>
      <c r="F154" s="139"/>
      <c r="G154" s="366" t="s">
        <v>3263</v>
      </c>
    </row>
    <row r="155" spans="1:8" ht="26.25">
      <c r="A155" s="368" t="s">
        <v>3264</v>
      </c>
      <c r="B155" s="368" t="s">
        <v>3265</v>
      </c>
      <c r="C155" s="387" t="s">
        <v>3266</v>
      </c>
      <c r="D155" s="369" t="s">
        <v>1247</v>
      </c>
      <c r="E155" s="369"/>
      <c r="F155" s="370"/>
      <c r="G155" s="368" t="s">
        <v>3267</v>
      </c>
      <c r="H155" s="368"/>
    </row>
    <row r="156" spans="1:8" ht="26.25">
      <c r="A156" s="368" t="s">
        <v>3268</v>
      </c>
      <c r="B156" s="368" t="s">
        <v>3269</v>
      </c>
      <c r="C156" s="387" t="s">
        <v>3270</v>
      </c>
      <c r="D156" s="369" t="s">
        <v>1247</v>
      </c>
      <c r="E156" s="369"/>
      <c r="F156" s="370"/>
      <c r="G156" s="368" t="s">
        <v>2156</v>
      </c>
      <c r="H156" s="368"/>
    </row>
  </sheetData>
  <conditionalFormatting sqref="A128">
    <cfRule type="duplicateValues" dxfId="47" priority="45"/>
  </conditionalFormatting>
  <conditionalFormatting sqref="A129">
    <cfRule type="duplicateValues" dxfId="46" priority="43"/>
  </conditionalFormatting>
  <conditionalFormatting sqref="A130">
    <cfRule type="duplicateValues" dxfId="45" priority="41"/>
  </conditionalFormatting>
  <conditionalFormatting sqref="A131">
    <cfRule type="duplicateValues" dxfId="44" priority="39"/>
  </conditionalFormatting>
  <conditionalFormatting sqref="A132">
    <cfRule type="duplicateValues" dxfId="43" priority="37"/>
  </conditionalFormatting>
  <conditionalFormatting sqref="A133">
    <cfRule type="duplicateValues" dxfId="42" priority="35"/>
  </conditionalFormatting>
  <conditionalFormatting sqref="A134">
    <cfRule type="duplicateValues" dxfId="41" priority="33"/>
  </conditionalFormatting>
  <conditionalFormatting sqref="A135">
    <cfRule type="duplicateValues" dxfId="40" priority="31"/>
  </conditionalFormatting>
  <conditionalFormatting sqref="A136">
    <cfRule type="duplicateValues" dxfId="39" priority="29"/>
  </conditionalFormatting>
  <conditionalFormatting sqref="A137">
    <cfRule type="duplicateValues" dxfId="38" priority="27"/>
  </conditionalFormatting>
  <conditionalFormatting sqref="A138">
    <cfRule type="duplicateValues" dxfId="37" priority="24"/>
    <cfRule type="duplicateValues" dxfId="36" priority="25"/>
  </conditionalFormatting>
  <conditionalFormatting sqref="A139">
    <cfRule type="duplicateValues" dxfId="35" priority="20"/>
    <cfRule type="duplicateValues" dxfId="34" priority="22"/>
  </conditionalFormatting>
  <conditionalFormatting sqref="A140">
    <cfRule type="duplicateValues" dxfId="33" priority="19"/>
  </conditionalFormatting>
  <conditionalFormatting sqref="A141">
    <cfRule type="duplicateValues" dxfId="32" priority="16"/>
  </conditionalFormatting>
  <conditionalFormatting sqref="A142">
    <cfRule type="duplicateValues" dxfId="31" priority="14"/>
  </conditionalFormatting>
  <conditionalFormatting sqref="A143">
    <cfRule type="duplicateValues" dxfId="30" priority="13"/>
    <cfRule type="duplicateValues" dxfId="29" priority="12"/>
  </conditionalFormatting>
  <conditionalFormatting sqref="A144">
    <cfRule type="duplicateValues" dxfId="28" priority="10"/>
  </conditionalFormatting>
  <conditionalFormatting sqref="A145:A154">
    <cfRule type="duplicateValues" dxfId="27" priority="6"/>
    <cfRule type="duplicateValues" dxfId="26" priority="8"/>
  </conditionalFormatting>
  <conditionalFormatting sqref="A155">
    <cfRule type="duplicateValues" dxfId="25" priority="4"/>
  </conditionalFormatting>
  <conditionalFormatting sqref="A156">
    <cfRule type="duplicateValues" dxfId="24" priority="3"/>
    <cfRule type="duplicateValues" dxfId="23" priority="1"/>
  </conditionalFormatting>
  <conditionalFormatting sqref="B22:B36 B1:B12 B46:B127 B19">
    <cfRule type="duplicateValues" dxfId="22" priority="46"/>
  </conditionalFormatting>
  <conditionalFormatting sqref="B41 A1:A36 A44:A127">
    <cfRule type="duplicateValues" dxfId="21" priority="47"/>
  </conditionalFormatting>
  <conditionalFormatting sqref="B128">
    <cfRule type="duplicateValues" dxfId="20" priority="44"/>
  </conditionalFormatting>
  <conditionalFormatting sqref="B129">
    <cfRule type="duplicateValues" dxfId="19" priority="42"/>
  </conditionalFormatting>
  <conditionalFormatting sqref="B130">
    <cfRule type="duplicateValues" dxfId="18" priority="40"/>
  </conditionalFormatting>
  <conditionalFormatting sqref="B131">
    <cfRule type="duplicateValues" dxfId="17" priority="38"/>
  </conditionalFormatting>
  <conditionalFormatting sqref="B132">
    <cfRule type="duplicateValues" dxfId="16" priority="36"/>
  </conditionalFormatting>
  <conditionalFormatting sqref="B133">
    <cfRule type="duplicateValues" dxfId="15" priority="34"/>
  </conditionalFormatting>
  <conditionalFormatting sqref="B134">
    <cfRule type="duplicateValues" dxfId="14" priority="32"/>
  </conditionalFormatting>
  <conditionalFormatting sqref="B135">
    <cfRule type="duplicateValues" dxfId="13" priority="30"/>
  </conditionalFormatting>
  <conditionalFormatting sqref="B136">
    <cfRule type="duplicateValues" dxfId="12" priority="28"/>
  </conditionalFormatting>
  <conditionalFormatting sqref="B137">
    <cfRule type="duplicateValues" dxfId="11" priority="26"/>
  </conditionalFormatting>
  <conditionalFormatting sqref="B138">
    <cfRule type="duplicateValues" dxfId="10" priority="23"/>
  </conditionalFormatting>
  <conditionalFormatting sqref="B139">
    <cfRule type="duplicateValues" dxfId="9" priority="21"/>
  </conditionalFormatting>
  <conditionalFormatting sqref="B140">
    <cfRule type="duplicateValues" dxfId="8" priority="18"/>
  </conditionalFormatting>
  <conditionalFormatting sqref="B141">
    <cfRule type="duplicateValues" dxfId="7" priority="17"/>
  </conditionalFormatting>
  <conditionalFormatting sqref="B142">
    <cfRule type="duplicateValues" dxfId="6" priority="15"/>
  </conditionalFormatting>
  <conditionalFormatting sqref="B143">
    <cfRule type="duplicateValues" dxfId="5" priority="11"/>
  </conditionalFormatting>
  <conditionalFormatting sqref="B144">
    <cfRule type="duplicateValues" dxfId="4" priority="9"/>
  </conditionalFormatting>
  <conditionalFormatting sqref="B145:B154">
    <cfRule type="duplicateValues" dxfId="3" priority="7"/>
  </conditionalFormatting>
  <conditionalFormatting sqref="B155">
    <cfRule type="duplicateValues" dxfId="2" priority="5"/>
  </conditionalFormatting>
  <conditionalFormatting sqref="B156">
    <cfRule type="duplicateValues" dxfId="1" priority="2"/>
  </conditionalFormatting>
  <conditionalFormatting sqref="C1:G1">
    <cfRule type="duplicateValues" dxfId="0" priority="48"/>
  </conditionalFormatting>
  <hyperlinks>
    <hyperlink ref="A112" r:id="rId1" display="https://na01.safelinks.protection.outlook.com/?url=https%3A%2F%2F31634813.bhclick.com%2Fss%2Fc%2FAFHHY18NT0_ddKuYrElMRhv05qHavjoYn-Gl_scPGDa2gH_JT9ZdRZA3QdPorVbohVmc2l3mVyIbAifIKu-ZdRbh5zoEDcmDXmu4xNIycG_PXqbl9fhoiJO2T2m5KgwtnLaURYQzYo5Hbrfa6aZdrLr0hpjBNq2JjOTLkZ1AUQP5wxf4ZRZoKScb63mbEtXALUdUk4dPPLAMaq77kYmUN8y8sroJj-JUtd-H-LF5hec%2F43o%2FTYbM0llAQ9i5NV5nw08yTw%2Fh14%2Fl5bCtQ0g_Dx1BuC8vnS9gZiYsQVPOtFDOtZpSm3E3Lw&amp;data=05%7C02%7C%7C9033785e649243c4dfaa08dc28c8a6bc%7C84df9e7fe9f640afb435aaaaaaaaaaaa%7C1%7C0%7C638430089486131997%7CUnknown%7CTWFpbGZsb3d8eyJWIjoiMC4wLjAwMDAiLCJQIjoiV2luMzIiLCJBTiI6Ik1haWwiLCJXVCI6Mn0%3D%7C0%7C%7C%7C&amp;sdata=gDBaIk9RPHQmmuAOMQqFNi4RBpyjNV2up5YYZL7jgnY%3D&amp;reserved=0" xr:uid="{027994E7-759A-4E7B-A3D5-68F9340D98B1}"/>
    <hyperlink ref="A125" r:id="rId2" display="https://na01.safelinks.protection.outlook.com/?url=https%3A%2F%2Flink.mail.beehiiv.com%2Fss%2Fc%2Fi142ipyW89EI2-TL2DD4FITDBMNRoYFfxy52DHo9f65xGlOPGTY4fPoc8LgKtPCkmEHlkXEefq72xf2Fo0RrSid3rvGJXVGCarGcIrssu8zzctD9Ehz3_RZw4kvK8cKOtNOLa9uZJCDori6odnmaNg1wAa0F9zneS1QblVhiYv7Q0IC6Cf_jEqjNe4irbES-q1txtO2LQ2zszZDJ_uuh4A%2F43n%2FiO-pL6SiSOqAXUwE07J6jg%2Fh8%2F8ds9zdjQwaMXJfzjomu4V9ky7ua10A90_5rODM53STA&amp;data=05%7C02%7C%7Ccf9a69073011423d7bb908dc280386ca%7C84df9e7fe9f640afb435aaaaaaaaaaaa%7C1%7C0%7C638429242852194428%7CUnknown%7CTWFpbGZsb3d8eyJWIjoiMC4wLjAwMDAiLCJQIjoiV2luMzIiLCJBTiI6Ik1haWwiLCJXVCI6Mn0%3D%7C0%7C%7C%7C&amp;sdata=d8VtvV9CKNK5XpUIC5oG6KbROsuMqmPu%2Fu4KJQ7uxEQ%3D&amp;reserved=0" xr:uid="{87699A68-9C3D-46C3-9B58-46C71CF25EFD}"/>
    <hyperlink ref="A110" r:id="rId3" display="https://na01.safelinks.protection.outlook.com/?url=https%3A%2F%2Flink.mail.beehiiv.com%2Fss%2Fc%2F8Y-VoJkoDnX1zI1WLAgXF25C18kH-5COGF3CdUfPMzHnDoTCmjKyBLRtIldlYCmkXB4zcVCQw7pIJsvH5WvEtrkbTDq--DMEhuc8IFbbYdzK3tMp07mvDEwOXzJcvIznrSfmGt6wxW9a01gH1BUWWuhvbxt4psRavK965d1Gsf4%2F43l%2FHwMXHvz3RievO6mgT_l0CA%2Fh9%2F7ZSZbREtSFXYVTapcblbPk3d3OFXC68HvnTpYyi9AG8&amp;data=05%7C02%7C%7C4c8a7b702214462daaff08dc266d644f%7C84df9e7fe9f640afb435aaaaaaaaaaaa%7C1%7C0%7C638427498509022558%7CUnknown%7CTWFpbGZsb3d8eyJWIjoiMC4wLjAwMDAiLCJQIjoiV2luMzIiLCJBTiI6Ik1haWwiLCJXVCI6Mn0%3D%7C0%7C%7C%7C&amp;sdata=tlNNh34n0PeNkVcWZmOTVsLCf1mIA27Otp4jBaZDUGk%3D&amp;reserved=0" xr:uid="{83DA60B5-487B-44BC-AB1E-AEB63CCB6C05}"/>
    <hyperlink ref="A105" r:id="rId4" display="https://na01.safelinks.protection.outlook.com/?url=https%3A%2F%2Flink.mail.beehiiv.com%2Fss%2Fc%2Fi142ipyW89EI2-TL2DD4FO_4AdYuJEarwNcD3w_h1ImOaM7s9Jv22bsmQS4YTZH7XxQB4WJ7j8nARW2UHiL4itsE1wtYaL1s6WHSIk8MqX7qonAWYbQbXyjoJIyEdQgXz5yy-yPz4cum87u3NMdAeLZZunEyS39VzKdqYgu3kccZ1CReQiGyokzIKxd4tZ1bKXxX9WQi4auPa7cyGvANTJUspTpD3wcBcNe6h9gHvIprDLZN8lv5UBWFE_JsAK9AITRNMG8NkYXtbo6wI1Tgmg%2F43h%2F7OxjGHLcTgywXbs0oXNXLQ%2Fh10%2FXKq1p7wTCr_0VTFA-OoEMczS1YX7_z3vou_9NYy6oec&amp;data=05%7C02%7C%7C92b5a0b457a44f6603dd08dc23488154%7C84df9e7fe9f640afb435aaaaaaaaaaaa%7C1%7C0%7C638424041549968244%7CUnknown%7CTWFpbGZsb3d8eyJWIjoiMC4wLjAwMDAiLCJQIjoiV2luMzIiLCJBTiI6Ik1haWwiLCJXVCI6Mn0%3D%7C0%7C%7C%7C&amp;sdata=%2FZKOhN%2FW6XRe3vAH2TdhXHMB%2Bql3SRa4NuvOjFcuIqg%3D&amp;reserved=0" xr:uid="{2C9DB9C7-F1D5-44CE-810B-0CE2E9657A9A}"/>
    <hyperlink ref="A122" r:id="rId5" display="https://na01.safelinks.protection.outlook.com/?url=https%3A%2F%2Flink.mail.beehiiv.com%2Fss%2Fc%2F-waoIZkt-taHfRlPPq_z7bFL5GWiaxL4Y5635FuFO6C7dcUCaf0VBswiG6Taq7kAdSmxVpCrkPueULxlwI3YHFRip2yTWDMyvuI0K6enYCmkPpi9RBk_AH5eANYadXHFEjqwCHkMRBzoGgP9MWWE2HSGnRqf2igQwls-iV5afyKGz22PH1caCOf8yh1uZvDtx-UdGimkO-__It5RuwAo7sVFy1D_8xyZ1ARDzVCR3yw%2F43f%2F0r2Q4BaqRmmQYVN_S21GIA%2Fh12%2FlCXnMOzlJpwxBGAP14x4E-_RLa-ZfZ6d-Q8v_3TadR0&amp;data=05%7C02%7C%7C6d9e3a4340a14913bf8108dc21c991b9%7C84df9e7fe9f640afb435aaaaaaaaaaaa%7C1%7C0%7C638422396844169679%7CUnknown%7CTWFpbGZsb3d8eyJWIjoiMC4wLjAwMDAiLCJQIjoiV2luMzIiLCJBTiI6Ik1haWwiLCJXVCI6Mn0%3D%7C0%7C%7C%7C&amp;sdata=yiNXb%2FYbHFwk9K0yGdxltMvGLtI8STSYsItl44VJSOE%3D&amp;reserved=0" xr:uid="{A03DF9A8-304F-4031-851B-A4563E055A63}"/>
    <hyperlink ref="A114" r:id="rId6" display="https://na01.safelinks.protection.outlook.com/?url=https%3A%2F%2Flink.mail.beehiiv.com%2Fss%2Fc%2FAFHHY18NT0_ddKuYrElMRhWFMuV42hYsWenjxiqhUUnluaKl8SxgqWAeB3tkbYtYpdQ_GiW6o7UnhmznbCUhNw8-NvawKhSmnaTwz4DMgCbAMzHJ4dOEZwVzRIIMABBX_CtIiL_aJbJcQN73lwS3M8G6xDRMzBfE_Xp7QYH7iFJutcuvPWJjF02IBb1yrn9fuIfAuZRwMwILU_ZP3OoBFiXMvUrdwZv_g6RgiREL_Pk%2F438%2FZBlGr5r-QrKKyDaAJsM9-w%2Fh10%2F7l00GfSr8kJHPI94EJ92EoknATH5tWVFPsErPXzhN1I&amp;data=05%7C02%7C%7C77deb5ee2ccf4c319ccd08dc1c35f0ad%7C84df9e7fe9f640afb435aaaaaaaaaaaa%7C1%7C0%7C638416265236720440%7CUnknown%7CTWFpbGZsb3d8eyJWIjoiMC4wLjAwMDAiLCJQIjoiV2luMzIiLCJBTiI6Ik1haWwiLCJXVCI6Mn0%3D%7C3000%7C%7C%7C&amp;sdata=lhQlQx3oah3d5Jp3bwIuLGkIl3IMi4RNZgyx3vkqwqA%3D&amp;reserved=0" xr:uid="{F7CB46B1-EBCE-466E-8B9C-0DF7F1FBB7F5}"/>
    <hyperlink ref="A106" r:id="rId7" display="https://na01.safelinks.protection.outlook.com/?url=https%3A%2F%2Flink.mail.beehiiv.com%2Fss%2Fc%2FAFHHY18NT0_ddKuYrElMRuAaCu7Ag3gSAAsrBkuz-CqbSlATyY0JoFLNyjACV1xZ_NM-KyH-aQLYr0is0TJzDLaHObIetxAwBN85757gTYWVruRDaUF1I1Zyqk1FMyVJs7eaQqTF68GZSbJDtjS0TdaHOyh0mc2eO9sFw9Y_7rm2Xf0-lDQyei5dGoGvH5J5I51V-3kuDt1O5YH9gn7vNE9soZ93COk-w01JzzAeZsc%2F437%2F4vbfGtooTOG-XpTsrdoYDw%2Fh12%2F76AMR-zv6NsHTXUFTi-ZIa8Ssai5aozLwWymq-XgwjQ&amp;data=05%7C02%7C%7C86c4e1f9c72b4f721b0308dc1b6c231b%7C84df9e7fe9f640afb435aaaaaaaaaaaa%7C1%7C0%7C638415398499265249%7CUnknown%7CTWFpbGZsb3d8eyJWIjoiMC4wLjAwMDAiLCJQIjoiV2luMzIiLCJBTiI6Ik1haWwiLCJXVCI6Mn0%3D%7C3000%7C%7C%7C&amp;sdata=do9OQTPqTkkOwAekTusoMqmzKC8p2undB002qE9mUGg%3D&amp;reserved=0" xr:uid="{4E663903-04F0-467C-88D9-1C91FC7EEC6A}"/>
    <hyperlink ref="A111" r:id="rId8" display="https://link.mail.beehiiv.com/ss/c/YHTaa2XonDw2f6U1lKEHzSnLXJlB8SSJj1Ds7-nO21BQXnPXnrhqnAQAmJradDXYZLnBKKdPad-HWdkbKRDnUjcOde4E1mnvi3xbiZHodtqFHl51zM-qboeuLEGbIGrZsNG-5GQLqAo90nnrGd0cYyGOUE-qjkZNwb5hXx8x7sQ/432/uYDT4K0OT3-IxStQIaXqyA/h10/j-oTHB534J33cMfd4xzuFQxv9MZY8I6VyXcfTN0vomQ" xr:uid="{51B82A68-6028-474E-979F-542ACC6B10B8}"/>
    <hyperlink ref="A127" r:id="rId9" display="https://link.mail.beehiiv.com/ss/c/AFHHY18NT0_ddKuYrElMRugVC4tEqXSmcvdGi_Pkx5Hbq5tD40AbFoo1XpnGiqOLVlRKPNUbxqXwVomIK8y4nh86K5PZQFx8ujpBNl_qTTKE5bgSu4OX3fnbFnbF4X2MNvfmOb1sZXPlvFTeZDb_76iJ-de3WBsuoNsBD4oTWAI/42n/9aXz3kL9RF6U874vSWwJ_w/h19/zMRQRJ7UumPQcg5aJ7uzLaYmjZ79-5IbORgdMtQJOTA" xr:uid="{71F64074-4DBC-4083-8576-468ED25025A5}"/>
    <hyperlink ref="A107" r:id="rId10" display="https://na01.safelinks.protection.outlook.com/?url=https%3A%2F%2Flink.mail.beehiiv.com%2Fss%2Fc%2FAFHHY18NT0_ddKuYrElMRrud6C07quE380HxOYBb2lUdBSxNQO0otwkoO0hxOsH79dF2HG5JIFU6KcAZlkfMbFy5yRuwX7spF8twDkZq8IKbYe6Q-TBEqM0gKKD39_YhglUfIn1QPVJkift1Bm07sddXBo4tHmAmhh_IO3EOzN8tla9P8mDPaZHnMyN3AOoV%2F42h%2F_ogS6TxZSlercL0Nc_b1Ng%2Fh17%2FGjf-Pf1_iso1KKmkUhT4tyd6fxZyzfnkfyx-YOP1jHk&amp;data=05%7C02%7C%7Cb42a097c4c334259a52308dc06fecdce%7C84df9e7fe9f640afb435aaaaaaaaaaaa%7C1%7C0%7C638392938691976893%7CUnknown%7CTWFpbGZsb3d8eyJWIjoiMC4wLjAwMDAiLCJQIjoiV2luMzIiLCJBTiI6Ik1haWwiLCJXVCI6Mn0%3D%7C3000%7C%7C%7C&amp;sdata=NeMhZ8Dm2bn%2BG03gZESWnr1ycoP2FR0TfJ3Psf2%2FvQU%3D&amp;reserved=0" xr:uid="{F1A46ACB-7000-4715-B87C-B33AC3E8C248}"/>
    <hyperlink ref="A124" r:id="rId11" display="https://na01.safelinks.protection.outlook.com/?url=https%3A%2F%2Flink.mail.beehiiv.com%2Fss%2Fc%2FAFHHY18NT0_ddKuYrElMRny9TH-VJRCMjOkTjnem8dEzm6QKrlq6XLwUX9_eUs63UAujduDWGFi-JLPmvXj3HQwghTHz9Fccgnxd8f9As_M5aXstBPq9GFqiN3b3X-qSqiptcR4GXeMOblTyt8HxLRRs0sXlTqcKjB_mvNQF-8evwNYT6CZqYIgyzEMMtGaD%2F42h%2F_ogS6TxZSlercL0Nc_b1Ng%2Fh19%2F16UkU9xNlMgSnQA-gFOcfxQiKHyORPGmKKP4XEAQ7q8&amp;data=05%7C02%7C%7Cb42a097c4c334259a52308dc06fecdce%7C84df9e7fe9f640afb435aaaaaaaaaaaa%7C1%7C0%7C638392938691976893%7CUnknown%7CTWFpbGZsb3d8eyJWIjoiMC4wLjAwMDAiLCJQIjoiV2luMzIiLCJBTiI6Ik1haWwiLCJXVCI6Mn0%3D%7C3000%7C%7C%7C&amp;sdata=MsByCoT9xvd4GyfVj6%2FivtOJ2grLSkJzM5afT4Omxok%3D&amp;reserved=0" xr:uid="{92E9F40B-9B07-4ABA-9482-B3847DFC6F7A}"/>
    <hyperlink ref="A126" r:id="rId12" display="https://na01.safelinks.protection.outlook.com/?url=https%3A%2F%2Flink.mail.beehiiv.com%2Fss%2Fc%2Fz0X5DY489zjmVLlFQopoHX6sPXajmNaoPbaYMrLXxZwwxbFvG0XD7ybyoAG05hIfWtHYO_EUFNENjgnqB8EwWeKcfaL9lBZRXgmf3_cnwaFDXn_ZDwcOQsZHm0Qju-Nug7QoeNt7WTx55UTFuxkl9gmSgV7ca4B5-uho9mv0NDiB7-JGIYmkvCgFJLLGkWZ9%2F42h%2F_ogS6TxZSlercL0Nc_b1Ng%2Fh21%2FNc8B06ldCWV0_ldxNX3rclCsuVjra_Cqq7oODl7T0zM&amp;data=05%7C02%7C%7Cb42a097c4c334259a52308dc06fecdce%7C84df9e7fe9f640afb435aaaaaaaaaaaa%7C1%7C0%7C638392938691976893%7CUnknown%7CTWFpbGZsb3d8eyJWIjoiMC4wLjAwMDAiLCJQIjoiV2luMzIiLCJBTiI6Ik1haWwiLCJXVCI6Mn0%3D%7C3000%7C%7C%7C&amp;sdata=UDtnkMc4vc%2FB%2F%2FWMrjKZtKHd%2BFUaXYGD1GHnFlTdJu0%3D&amp;reserved=0" xr:uid="{22B03264-B809-4CFC-A933-8CACDC43E835}"/>
    <hyperlink ref="A109" r:id="rId13" display="https://na01.safelinks.protection.outlook.com/?url=https%3A%2F%2Flink.mail.beehiiv.com%2Fss%2Fc%2FjMFTGBN48XY1wUMNWd3dQPSX-v0CZV_zqMSuOhzjnGxx1WqwUAuRUiH5rjBuCHHr2Rqq-8gzXf4zWj8dc7UIsGg6jBLUfq6SkdRXU-o-tO6X8P5LXKXw68BLLWO8cA0g24eGwiuS1Gvufb1Jn4eh3i2tJkFZw21e35Q_K7UQlsV_ux7ngOg04IT5UaTndEvh%2F429%2Fh2pqv3d1RQ67Bfh-NIiP1A%2Fh20%2FK-pKA-1TedTsa35L0MlAl07KZg9oIPGml3kIvvNZoU0&amp;data=05%7C02%7C%7C217feb6faf81474831eb08dc00b512fe%7C84df9e7fe9f640afb435aaaaaaaaaaaa%7C1%7C0%7C638386025021594445%7CUnknown%7CTWFpbGZsb3d8eyJWIjoiMC4wLjAwMDAiLCJQIjoiV2luMzIiLCJBTiI6Ik1haWwiLCJXVCI6Mn0%3D%7C3000%7C%7C%7C&amp;sdata=yDs1uGqCtUsteTea9Yagz42ll%2BS988BDWZaFXov0ssw%3D&amp;reserved=0" xr:uid="{F8076FEB-0308-4707-835B-ADF8E18A319C}"/>
    <hyperlink ref="A113" r:id="rId14" display="https://na01.safelinks.protection.outlook.com/?url=https%3A%2F%2Flink.mail.beehiiv.com%2Fss%2Fc%2Fz0X5DY489zjmVLlFQopoHWvSHKJt7co90mQtibFPlukSmFBg1b_ykxteitP0mTeNJYZAhLeJNfppGF0H96cSE38R-cRIY29IxqH0TqREr9A6wlUNisMnfwDKIK7tcvP6AhuIal-FkijGMnd4gtB7r4hFfzOaq2YxNBzwXWyTs51kNS-fsZhCJv5Hbsn_VA6W5OGD-ry2ectrHmljmSVJhA%2F425%2FBAt7DEa7RBuNXTUzReGD5A%2Fh13%2FH60juV-HxZK2PdZbI2iOougLzt_KAfC152-PjQI-6NA&amp;data=05%7C02%7C%7C9a9fcf3ef1f04979b0cd08dbfd90c779%7C84df9e7fe9f640afb435aaaaaaaaaaaa%7C1%7C0%7C638382570530352505%7CUnknown%7CTWFpbGZsb3d8eyJWIjoiMC4wLjAwMDAiLCJQIjoiV2luMzIiLCJBTiI6Ik1haWwiLCJXVCI6Mn0%3D%7C3000%7C%7C%7C&amp;sdata=nSMU6CLoEZ4mJGPZ9efRvphPKoF7i6PthtZCqxmsqTE%3D&amp;reserved=0" xr:uid="{2394E314-C961-4216-9360-9CA572B4FB99}"/>
    <hyperlink ref="B41" r:id="rId15" xr:uid="{4DC016BB-6B00-4CED-B158-06ABF5C43EF0}"/>
    <hyperlink ref="B120" r:id="rId16" xr:uid="{FBEBD7F7-3122-411B-B7DD-06AF0E68EA3D}"/>
    <hyperlink ref="B117" r:id="rId17" xr:uid="{C40C35E5-A5AF-4F3C-81BF-1552F7061948}"/>
    <hyperlink ref="B23" r:id="rId18" xr:uid="{EA0C2FCD-2EF9-4C1C-B45B-D34C2B3E2B93}"/>
    <hyperlink ref="B42" r:id="rId19" xr:uid="{5458D42F-F782-49A2-847E-91DE58583FA5}"/>
    <hyperlink ref="B3" r:id="rId20" xr:uid="{4B9647A1-0E56-424F-9A6F-BC845D11F074}"/>
    <hyperlink ref="B95" r:id="rId21" display="https://na01.safelinks.protection.outlook.com/?url=https%3A%2F%2Flink.mail.beehiiv.com%2Fss%2Fc%2FAFHHY18NT0_ddKuYrElMRuuMWF6skErlmSvmK6l1JyUkTWrvWUJL11IJ99OIRP5Nysq8l0BVs9Xs1J79aCnQf5CQJRtbWOKUAOeoboPf4jDILfw5lKnpEF2W5w2Pt28i3KpfMzrxANVmJMP3zmUWcBCsAYRrJCtDLtbEYWh0UT_tOf6WGnL-0lBzpeZ6_1jz%2F43p%2FjvHr-I6eRUCnOzE4IDkryQ%2Fh7%2FZxbea_9QSUg1Rhs8wkKEi3rzJ8daluEo8Lao9Fos-Mg&amp;data=05%7C02%7C%7C5cce792f15a54dfab9b808dc2992240f%7C84df9e7fe9f640afb435aaaaaaaaaaaa%7C1%7C0%7C638430954878815465%7CUnknown%7CTWFpbGZsb3d8eyJWIjoiMC4wLjAwMDAiLCJQIjoiV2luMzIiLCJBTiI6Ik1haWwiLCJXVCI6Mn0%3D%7C0%7C%7C%7C&amp;sdata=OxuTKy%2BJzdDxDnpEhCDRdsW0o3Rfux9Ve4ugdrcu7AM%3D&amp;reserved=0" xr:uid="{FFDEF30F-44C7-4F8C-8367-0DDDA65E9116}"/>
    <hyperlink ref="B112" r:id="rId22" display="https://na01.safelinks.protection.outlook.com/?url=https%3A%2F%2F31634813.bhclick.com%2Fss%2Fc%2FAFHHY18NT0_ddKuYrElMRhv05qHavjoYn-Gl_scPGDa2gH_JT9ZdRZA3QdPorVbohVmc2l3mVyIbAifIKu-ZdRbh5zoEDcmDXmu4xNIycG_PXqbl9fhoiJO2T2m5KgwtnLaURYQzYo5Hbrfa6aZdrLr0hpjBNq2JjOTLkZ1AUQP5wxf4ZRZoKScb63mbEtXALUdUk4dPPLAMaq77kYmUN8y8sroJj-JUtd-H-LF5hec%2F43o%2FTYbM0llAQ9i5NV5nw08yTw%2Fh14%2Fl5bCtQ0g_Dx1BuC8vnS9gZiYsQVPOtFDOtZpSm3E3Lw&amp;data=05%7C02%7C%7C9033785e649243c4dfaa08dc28c8a6bc%7C84df9e7fe9f640afb435aaaaaaaaaaaa%7C1%7C0%7C638430089486131997%7CUnknown%7CTWFpbGZsb3d8eyJWIjoiMC4wLjAwMDAiLCJQIjoiV2luMzIiLCJBTiI6Ik1haWwiLCJXVCI6Mn0%3D%7C0%7C%7C%7C&amp;sdata=gDBaIk9RPHQmmuAOMQqFNi4RBpyjNV2up5YYZL7jgnY%3D&amp;reserved=0" xr:uid="{1805A4B3-9900-4B8D-BFE1-A213FD8A6ACD}"/>
    <hyperlink ref="B125" r:id="rId23" display="https://na01.safelinks.protection.outlook.com/?url=https%3A%2F%2Flink.mail.beehiiv.com%2Fss%2Fc%2Fi142ipyW89EI2-TL2DD4FITDBMNRoYFfxy52DHo9f65xGlOPGTY4fPoc8LgKtPCkmEHlkXEefq72xf2Fo0RrSid3rvGJXVGCarGcIrssu8zzctD9Ehz3_RZw4kvK8cKOtNOLa9uZJCDori6odnmaNg1wAa0F9zneS1QblVhiYv7Q0IC6Cf_jEqjNe4irbES-q1txtO2LQ2zszZDJ_uuh4A%2F43n%2FiO-pL6SiSOqAXUwE07J6jg%2Fh8%2F8ds9zdjQwaMXJfzjomu4V9ky7ua10A90_5rODM53STA&amp;data=05%7C02%7C%7Ccf9a69073011423d7bb908dc280386ca%7C84df9e7fe9f640afb435aaaaaaaaaaaa%7C1%7C0%7C638429242852194428%7CUnknown%7CTWFpbGZsb3d8eyJWIjoiMC4wLjAwMDAiLCJQIjoiV2luMzIiLCJBTiI6Ik1haWwiLCJXVCI6Mn0%3D%7C0%7C%7C%7C&amp;sdata=d8VtvV9CKNK5XpUIC5oG6KbROsuMqmPu%2Fu4KJQ7uxEQ%3D&amp;reserved=0" xr:uid="{536399A4-5993-445D-8233-90CFCFC2BE8E}"/>
    <hyperlink ref="B110" r:id="rId24" display="https://na01.safelinks.protection.outlook.com/?url=https%3A%2F%2Flink.mail.beehiiv.com%2Fss%2Fc%2F8Y-VoJkoDnX1zI1WLAgXF25C18kH-5COGF3CdUfPMzHnDoTCmjKyBLRtIldlYCmkXB4zcVCQw7pIJsvH5WvEtrkbTDq--DMEhuc8IFbbYdzK3tMp07mvDEwOXzJcvIznrSfmGt6wxW9a01gH1BUWWuhvbxt4psRavK965d1Gsf4%2F43l%2FHwMXHvz3RievO6mgT_l0CA%2Fh9%2F7ZSZbREtSFXYVTapcblbPk3d3OFXC68HvnTpYyi9AG8&amp;data=05%7C02%7C%7C4c8a7b702214462daaff08dc266d644f%7C84df9e7fe9f640afb435aaaaaaaaaaaa%7C1%7C0%7C638427498509022558%7CUnknown%7CTWFpbGZsb3d8eyJWIjoiMC4wLjAwMDAiLCJQIjoiV2luMzIiLCJBTiI6Ik1haWwiLCJXVCI6Mn0%3D%7C0%7C%7C%7C&amp;sdata=tlNNh34n0PeNkVcWZmOTVsLCf1mIA27Otp4jBaZDUGk%3D&amp;reserved=0" xr:uid="{A33EC833-E492-4615-B17B-FD74B03DEF0F}"/>
    <hyperlink ref="B86" r:id="rId25" display="https://na01.safelinks.protection.outlook.com/?url=https%3A%2F%2Flink.mail.beehiiv.com%2Fss%2Fc%2FoPK9TvOEo1ZeXdOJwVOhadSEINfvKsxK51Uu5bBRFR1xMizsnAFUFzqwYrpQC-tmrvJSKQr9e3RtLk_Xw_KmtOh9YOKQ9dmCWnUlxV1bf6mRcvXA4kRVFLVKI0cyAzdlzio5gibqf2PoiyN0WgYHoa_6360OKLJb1zAc2eIBnzV4FqBgrfAy3-SlUptYp-J6lV7Ubu7_X-3_IMNGmXDp141lMHXBwtytAnVuWf1IB2DHprjevFifilb3rUtJNTM2%2F43h%2F7OxjGHLcTgywXbs0oXNXLQ%2Fh9%2F0vz6Tc1VB0NMt3JgXGb_sCBW6GRXnJy9ynJDrYeWp-k&amp;data=05%7C02%7C%7C92b5a0b457a44f6603dd08dc23488154%7C84df9e7fe9f640afb435aaaaaaaaaaaa%7C1%7C0%7C638424041549953989%7CUnknown%7CTWFpbGZsb3d8eyJWIjoiMC4wLjAwMDAiLCJQIjoiV2luMzIiLCJBTiI6Ik1haWwiLCJXVCI6Mn0%3D%7C0%7C%7C%7C&amp;sdata=X4AlqBJ9vjTC1zlHbACAUYFL0v2dht4GA6%2FJ%2Bc4eLJg%3D&amp;reserved=0" xr:uid="{D912ACE7-E5E8-4BB7-B417-15731BBDEC36}"/>
    <hyperlink ref="B105" r:id="rId26" display="https://na01.safelinks.protection.outlook.com/?url=https%3A%2F%2Flink.mail.beehiiv.com%2Fss%2Fc%2Fi142ipyW89EI2-TL2DD4FO_4AdYuJEarwNcD3w_h1ImOaM7s9Jv22bsmQS4YTZH7XxQB4WJ7j8nARW2UHiL4itsE1wtYaL1s6WHSIk8MqX7qonAWYbQbXyjoJIyEdQgXz5yy-yPz4cum87u3NMdAeLZZunEyS39VzKdqYgu3kccZ1CReQiGyokzIKxd4tZ1bKXxX9WQi4auPa7cyGvANTJUspTpD3wcBcNe6h9gHvIprDLZN8lv5UBWFE_JsAK9AITRNMG8NkYXtbo6wI1Tgmg%2F43h%2F7OxjGHLcTgywXbs0oXNXLQ%2Fh10%2FXKq1p7wTCr_0VTFA-OoEMczS1YX7_z3vou_9NYy6oec&amp;data=05%7C02%7C%7C92b5a0b457a44f6603dd08dc23488154%7C84df9e7fe9f640afb435aaaaaaaaaaaa%7C1%7C0%7C638424041549968244%7CUnknown%7CTWFpbGZsb3d8eyJWIjoiMC4wLjAwMDAiLCJQIjoiV2luMzIiLCJBTiI6Ik1haWwiLCJXVCI6Mn0%3D%7C0%7C%7C%7C&amp;sdata=%2FZKOhN%2FW6XRe3vAH2TdhXHMB%2Bql3SRa4NuvOjFcuIqg%3D&amp;reserved=0" xr:uid="{286E1B09-DD7F-4418-BE74-FE88C685A2F1}"/>
    <hyperlink ref="B122" r:id="rId27" display="https://na01.safelinks.protection.outlook.com/?url=https%3A%2F%2Flink.mail.beehiiv.com%2Fss%2Fc%2F-waoIZkt-taHfRlPPq_z7bFL5GWiaxL4Y5635FuFO6C7dcUCaf0VBswiG6Taq7kAdSmxVpCrkPueULxlwI3YHFRip2yTWDMyvuI0K6enYCmkPpi9RBk_AH5eANYadXHFEjqwCHkMRBzoGgP9MWWE2HSGnRqf2igQwls-iV5afyKGz22PH1caCOf8yh1uZvDtx-UdGimkO-__It5RuwAo7sVFy1D_8xyZ1ARDzVCR3yw%2F43f%2F0r2Q4BaqRmmQYVN_S21GIA%2Fh12%2FlCXnMOzlJpwxBGAP14x4E-_RLa-ZfZ6d-Q8v_3TadR0&amp;data=05%7C02%7C%7C6d9e3a4340a14913bf8108dc21c991b9%7C84df9e7fe9f640afb435aaaaaaaaaaaa%7C1%7C0%7C638422396844169679%7CUnknown%7CTWFpbGZsb3d8eyJWIjoiMC4wLjAwMDAiLCJQIjoiV2luMzIiLCJBTiI6Ik1haWwiLCJXVCI6Mn0%3D%7C0%7C%7C%7C&amp;sdata=yiNXb%2FYbHFwk9K0yGdxltMvGLtI8STSYsItl44VJSOE%3D&amp;reserved=0" xr:uid="{3D75868D-B608-474F-8152-162916527EB0}"/>
    <hyperlink ref="B98" r:id="rId28" display="https://na01.safelinks.protection.outlook.com/?url=https%3A%2F%2Flink.mail.beehiiv.com%2Fss%2Fc%2Fc7PJHcuJN9go-BId_98f2_7Kxx_aX2B28gb_lWW2ugGvOO5AzvhxPgd0sYtM3JcDpHZO8Qb9-0cThfUCF4VAstPcAuw7qaS7V40vgfIYCcx0KUd-5KLrYGvWjSs24WjaZAAF6IrA4o1DAtlguIgpIXJltpBa22HfrGXPuCQ0JgYg-a4gyOe63KxsujQWEWP_%2F43e%2FQIfQDPINSjmv2FtXeaijkg%2Fh5%2FX0mYM53UdWqP9szYZfb0-znsUsNbm54rmI80nB8MQbk&amp;data=05%7C02%7C%7Cbf82f73ec0fd4de2a8ad08dc20f45de3%7C84df9e7fe9f640afb435aaaaaaaaaaaa%7C1%7C0%7C638421481151359921%7CUnknown%7CTWFpbGZsb3d8eyJWIjoiMC4wLjAwMDAiLCJQIjoiV2luMzIiLCJBTiI6Ik1haWwiLCJXVCI6Mn0%3D%7C0%7C%7C%7C&amp;sdata=Uu68ZuZYnSJCaye78nbzWOjWAO5He8h8RyZEP04NvgU%3D&amp;reserved=0" xr:uid="{88D3ACB5-DDA1-42D1-A8B3-BF886A6C4F39}"/>
    <hyperlink ref="B114" r:id="rId29" display="https://na01.safelinks.protection.outlook.com/?url=https%3A%2F%2Flink.mail.beehiiv.com%2Fss%2Fc%2FAFHHY18NT0_ddKuYrElMRhWFMuV42hYsWenjxiqhUUnluaKl8SxgqWAeB3tkbYtYpdQ_GiW6o7UnhmznbCUhNw8-NvawKhSmnaTwz4DMgCbAMzHJ4dOEZwVzRIIMABBX_CtIiL_aJbJcQN73lwS3M8G6xDRMzBfE_Xp7QYH7iFJutcuvPWJjF02IBb1yrn9fuIfAuZRwMwILU_ZP3OoBFiXMvUrdwZv_g6RgiREL_Pk%2F438%2FZBlGr5r-QrKKyDaAJsM9-w%2Fh10%2F7l00GfSr8kJHPI94EJ92EoknATH5tWVFPsErPXzhN1I&amp;data=05%7C02%7C%7C77deb5ee2ccf4c319ccd08dc1c35f0ad%7C84df9e7fe9f640afb435aaaaaaaaaaaa%7C1%7C0%7C638416265236720440%7CUnknown%7CTWFpbGZsb3d8eyJWIjoiMC4wLjAwMDAiLCJQIjoiV2luMzIiLCJBTiI6Ik1haWwiLCJXVCI6Mn0%3D%7C3000%7C%7C%7C&amp;sdata=lhQlQx3oah3d5Jp3bwIuLGkIl3IMi4RNZgyx3vkqwqA%3D&amp;reserved=0" xr:uid="{5B827140-D858-4F57-9E0A-6E3E11320DE9}"/>
    <hyperlink ref="B106" r:id="rId30" display="https://na01.safelinks.protection.outlook.com/?url=https%3A%2F%2Flink.mail.beehiiv.com%2Fss%2Fc%2FAFHHY18NT0_ddKuYrElMRuAaCu7Ag3gSAAsrBkuz-CqbSlATyY0JoFLNyjACV1xZ_NM-KyH-aQLYr0is0TJzDLaHObIetxAwBN85757gTYWVruRDaUF1I1Zyqk1FMyVJs7eaQqTF68GZSbJDtjS0TdaHOyh0mc2eO9sFw9Y_7rm2Xf0-lDQyei5dGoGvH5J5I51V-3kuDt1O5YH9gn7vNE9soZ93COk-w01JzzAeZsc%2F437%2F4vbfGtooTOG-XpTsrdoYDw%2Fh12%2F76AMR-zv6NsHTXUFTi-ZIa8Ssai5aozLwWymq-XgwjQ&amp;data=05%7C02%7C%7C86c4e1f9c72b4f721b0308dc1b6c231b%7C84df9e7fe9f640afb435aaaaaaaaaaaa%7C1%7C0%7C638415398499265249%7CUnknown%7CTWFpbGZsb3d8eyJWIjoiMC4wLjAwMDAiLCJQIjoiV2luMzIiLCJBTiI6Ik1haWwiLCJXVCI6Mn0%3D%7C3000%7C%7C%7C&amp;sdata=do9OQTPqTkkOwAekTusoMqmzKC8p2undB002qE9mUGg%3D&amp;reserved=0" xr:uid="{F53284C8-118B-4E30-905B-2F805AE4C275}"/>
    <hyperlink ref="B111" r:id="rId31" display="https://link.mail.beehiiv.com/ss/c/YHTaa2XonDw2f6U1lKEHzSnLXJlB8SSJj1Ds7-nO21BQXnPXnrhqnAQAmJradDXYZLnBKKdPad-HWdkbKRDnUjcOde4E1mnvi3xbiZHodtqFHl51zM-qboeuLEGbIGrZsNG-5GQLqAo90nnrGd0cYyGOUE-qjkZNwb5hXx8x7sQ/432/uYDT4K0OT3-IxStQIaXqyA/h10/j-oTHB534J33cMfd4xzuFQxv9MZY8I6VyXcfTN0vomQ" xr:uid="{529D9235-D97F-4764-B75E-6CA9D0B83E50}"/>
    <hyperlink ref="B94" r:id="rId32" display="https://link.mail.beehiiv.com/ss/c/2AzrNw8_0McR5ZHRioFSTqdTJhw_NO0LXPgYelBjxD9UtgAwEyOImP2RRC0NAJpvqeqKkbg5EIdGyvqpdjtzm8W_WkUfZfofigfOtc6qVTg3uLLmJbL4wLrhQkfMLTBSwBuxR6WXzfVtMF2LzPqDS-OJn2XAJGxWxWtOcnme3U-tG9-0QwySqH6Ehhj6jo8N/432/uYDT4K0OT3-IxStQIaXqyA/h12/Od99YkQzdVbzv8sJ2WH_WNKvzbOQjoop3NKKjNG0kl0" xr:uid="{CF441189-08F7-4AB5-BBAC-50A71B304340}"/>
    <hyperlink ref="B97" r:id="rId33" display="https://link.mail.beehiiv.com/ss/c/i142ipyW89EI2-TL2DD4FNglVMHBT8r6waOstSD7jzDbTgDGb9A5eI66sANVafWdiYynD_8yOF6qf4wXod122BpwJfU5dfsam0JW9nYg6LNwMOxpkY1JXYP3LB5qX2gcMb09cDxHtyT8hhgwj_xM4fmmMu-CDQDaFzTHqbzK82qqJDdqCsNOQrXvJ-Ag3bWJ/431/0J35znfFRx6STK6n_K41aA/h16/6QRXHEha2Z39LrvV87zsGq2wz1ObAp32ebTME4TA_y8" xr:uid="{95A5C45F-25E2-40BA-9D95-3C411FD287FE}"/>
    <hyperlink ref="B96" r:id="rId34" display="https://link.mail.beehiiv.com/ss/c/0wlcaBm-wAGbfh-p66fdvF-uGVTFiztcgcJUR_Wa9T3X2TR6VOwtIBOjXFDI5_shLqT4KP0enBtlDFzFnMbOfr6s2alEezjHQX5fpAt27FgKbgi4P_ZkpiRMEJbW4dEURrYaJO7Xq4O8dVoO1ElEc0FFspZn-bvxNnCY-L2-pKo/42w/f1oAezbGRg-h6mWpOtN6Kg/h13/20rXk-_sbh_YTboIYSo5NbcM-JEAS0pT-A6ZaWhFTKA" xr:uid="{7BD7A2F0-2B81-430A-8EA7-882F9FB047E3}"/>
    <hyperlink ref="B127" r:id="rId35" display="https://link.mail.beehiiv.com/ss/c/AFHHY18NT0_ddKuYrElMRugVC4tEqXSmcvdGi_Pkx5Hbq5tD40AbFoo1XpnGiqOLVlRKPNUbxqXwVomIK8y4nh86K5PZQFx8ujpBNl_qTTKE5bgSu4OX3fnbFnbF4X2MNvfmOb1sZXPlvFTeZDb_76iJ-de3WBsuoNsBD4oTWAI/42n/9aXz3kL9RF6U874vSWwJ_w/h19/zMRQRJ7UumPQcg5aJ7uzLaYmjZ79-5IbORgdMtQJOTA" xr:uid="{A910C737-BAF6-4DD1-9459-0AFB067534C2}"/>
    <hyperlink ref="B51" r:id="rId36" display="https://link.mail.beehiiv.com/ss/c/AFHHY18NT0_ddKuYrElMRj7UC3B9HwQLc2CUjNQAzg1m4PIl8bP68r6_Gg3qwcXvbZrVwiLSJWCB_DDPbnOjE3blTGM3wfXzUFPuvVvW-Ebm51vtCuHxD-dZmLfW37yl7FrEBC1gVQexkc-OuyDZIBt5AUZGvILHu-vad6EW38sJ_aoZpnKJKgMpI8v15snx/42j/zCbDb32ySbSS13cvqNaY0w/h6/gCF0Zv97DFnOH7o3ysL3LzgVrgbaN6qIkLCVVmB8ulU" xr:uid="{62EB4997-A883-41D7-A8B3-DA62F2372A3F}"/>
    <hyperlink ref="B107" r:id="rId37" display="https://na01.safelinks.protection.outlook.com/?url=https%3A%2F%2Flink.mail.beehiiv.com%2Fss%2Fc%2FAFHHY18NT0_ddKuYrElMRrud6C07quE380HxOYBb2lUdBSxNQO0otwkoO0hxOsH79dF2HG5JIFU6KcAZlkfMbFy5yRuwX7spF8twDkZq8IKbYe6Q-TBEqM0gKKD39_YhglUfIn1QPVJkift1Bm07sddXBo4tHmAmhh_IO3EOzN8tla9P8mDPaZHnMyN3AOoV%2F42h%2F_ogS6TxZSlercL0Nc_b1Ng%2Fh17%2FGjf-Pf1_iso1KKmkUhT4tyd6fxZyzfnkfyx-YOP1jHk&amp;data=05%7C02%7C%7Cb42a097c4c334259a52308dc06fecdce%7C84df9e7fe9f640afb435aaaaaaaaaaaa%7C1%7C0%7C638392938691976893%7CUnknown%7CTWFpbGZsb3d8eyJWIjoiMC4wLjAwMDAiLCJQIjoiV2luMzIiLCJBTiI6Ik1haWwiLCJXVCI6Mn0%3D%7C3000%7C%7C%7C&amp;sdata=NeMhZ8Dm2bn%2BG03gZESWnr1ycoP2FR0TfJ3Psf2%2FvQU%3D&amp;reserved=0" xr:uid="{DD345AA2-619D-4268-8297-681911E70BA6}"/>
    <hyperlink ref="B102" r:id="rId38" display="https://na01.safelinks.protection.outlook.com/?url=https%3A%2F%2Flink.mail.beehiiv.com%2Fss%2Fc%2FAFHHY18NT0_ddKuYrElMRnygV3sXzBpdfokWsIn8io4hiq_VI97vF-kx3lI5mou2KGIqpjTOpmk579cnuqFgcs3vp-lVBUduvKmtnn0AHMuT88yEw63hSPKYNTlyv751Ii6THYW9NECA7D1Nb9GDAWnIH99Y66x0Ofn9t9a_LmbN4FxYL7F9zcVHljcE3eP-%2F42h%2F_ogS6TxZSlercL0Nc_b1Ng%2Fh18%2FcofubxPQZkfP68cBcse2FY5PC9yhjQZaoXM9p-b4NDs&amp;data=05%7C02%7C%7Cb42a097c4c334259a52308dc06fecdce%7C84df9e7fe9f640afb435aaaaaaaaaaaa%7C1%7C0%7C638392938691976893%7CUnknown%7CTWFpbGZsb3d8eyJWIjoiMC4wLjAwMDAiLCJQIjoiV2luMzIiLCJBTiI6Ik1haWwiLCJXVCI6Mn0%3D%7C3000%7C%7C%7C&amp;sdata=ZXWzllwr5L0OlvrSFNesYcvjVRisqSJHcLI0VxqoeAU%3D&amp;reserved=0" xr:uid="{42FE72F2-94B2-431A-89E4-E9691ADCCD41}"/>
    <hyperlink ref="B124" r:id="rId39" display="https://na01.safelinks.protection.outlook.com/?url=https%3A%2F%2Flink.mail.beehiiv.com%2Fss%2Fc%2FAFHHY18NT0_ddKuYrElMRny9TH-VJRCMjOkTjnem8dEzm6QKrlq6XLwUX9_eUs63UAujduDWGFi-JLPmvXj3HQwghTHz9Fccgnxd8f9As_M5aXstBPq9GFqiN3b3X-qSqiptcR4GXeMOblTyt8HxLRRs0sXlTqcKjB_mvNQF-8evwNYT6CZqYIgyzEMMtGaD%2F42h%2F_ogS6TxZSlercL0Nc_b1Ng%2Fh19%2F16UkU9xNlMgSnQA-gFOcfxQiKHyORPGmKKP4XEAQ7q8&amp;data=05%7C02%7C%7Cb42a097c4c334259a52308dc06fecdce%7C84df9e7fe9f640afb435aaaaaaaaaaaa%7C1%7C0%7C638392938691976893%7CUnknown%7CTWFpbGZsb3d8eyJWIjoiMC4wLjAwMDAiLCJQIjoiV2luMzIiLCJBTiI6Ik1haWwiLCJXVCI6Mn0%3D%7C3000%7C%7C%7C&amp;sdata=MsByCoT9xvd4GyfVj6%2FivtOJ2grLSkJzM5afT4Omxok%3D&amp;reserved=0" xr:uid="{58A20D2E-F20A-4485-AF43-0E3E5628DFC7}"/>
    <hyperlink ref="B126" r:id="rId40" display="https://na01.safelinks.protection.outlook.com/?url=https%3A%2F%2Flink.mail.beehiiv.com%2Fss%2Fc%2Fz0X5DY489zjmVLlFQopoHX6sPXajmNaoPbaYMrLXxZwwxbFvG0XD7ybyoAG05hIfWtHYO_EUFNENjgnqB8EwWeKcfaL9lBZRXgmf3_cnwaFDXn_ZDwcOQsZHm0Qju-Nug7QoeNt7WTx55UTFuxkl9gmSgV7ca4B5-uho9mv0NDiB7-JGIYmkvCgFJLLGkWZ9%2F42h%2F_ogS6TxZSlercL0Nc_b1Ng%2Fh21%2FNc8B06ldCWV0_ldxNX3rclCsuVjra_Cqq7oODl7T0zM&amp;data=05%7C02%7C%7Cb42a097c4c334259a52308dc06fecdce%7C84df9e7fe9f640afb435aaaaaaaaaaaa%7C1%7C0%7C638392938691976893%7CUnknown%7CTWFpbGZsb3d8eyJWIjoiMC4wLjAwMDAiLCJQIjoiV2luMzIiLCJBTiI6Ik1haWwiLCJXVCI6Mn0%3D%7C3000%7C%7C%7C&amp;sdata=UDtnkMc4vc%2FB%2F%2FWMrjKZtKHd%2BFUaXYGD1GHnFlTdJu0%3D&amp;reserved=0" xr:uid="{64BDB391-F1B4-4C17-A559-9121F4C4DFF1}"/>
    <hyperlink ref="B109" r:id="rId41" display="https://na01.safelinks.protection.outlook.com/?url=https%3A%2F%2Flink.mail.beehiiv.com%2Fss%2Fc%2FjMFTGBN48XY1wUMNWd3dQPSX-v0CZV_zqMSuOhzjnGxx1WqwUAuRUiH5rjBuCHHr2Rqq-8gzXf4zWj8dc7UIsGg6jBLUfq6SkdRXU-o-tO6X8P5LXKXw68BLLWO8cA0g24eGwiuS1Gvufb1Jn4eh3i2tJkFZw21e35Q_K7UQlsV_ux7ngOg04IT5UaTndEvh%2F429%2Fh2pqv3d1RQ67Bfh-NIiP1A%2Fh20%2FK-pKA-1TedTsa35L0MlAl07KZg9oIPGml3kIvvNZoU0&amp;data=05%7C02%7C%7C217feb6faf81474831eb08dc00b512fe%7C84df9e7fe9f640afb435aaaaaaaaaaaa%7C1%7C0%7C638386025021594445%7CUnknown%7CTWFpbGZsb3d8eyJWIjoiMC4wLjAwMDAiLCJQIjoiV2luMzIiLCJBTiI6Ik1haWwiLCJXVCI6Mn0%3D%7C3000%7C%7C%7C&amp;sdata=yDs1uGqCtUsteTea9Yagz42ll%2BS988BDWZaFXov0ssw%3D&amp;reserved=0" xr:uid="{86C79837-3971-493E-9403-670A13B8C80F}"/>
    <hyperlink ref="B113" r:id="rId42" display="https://na01.safelinks.protection.outlook.com/?url=https%3A%2F%2Flink.mail.beehiiv.com%2Fss%2Fc%2Fz0X5DY489zjmVLlFQopoHWvSHKJt7co90mQtibFPlukSmFBg1b_ykxteitP0mTeNJYZAhLeJNfppGF0H96cSE38R-cRIY29IxqH0TqREr9A6wlUNisMnfwDKIK7tcvP6AhuIal-FkijGMnd4gtB7r4hFfzOaq2YxNBzwXWyTs51kNS-fsZhCJv5Hbsn_VA6W5OGD-ry2ectrHmljmSVJhA%2F425%2FBAt7DEa7RBuNXTUzReGD5A%2Fh13%2FH60juV-HxZK2PdZbI2iOougLzt_KAfC152-PjQI-6NA&amp;data=05%7C02%7C%7C9a9fcf3ef1f04979b0cd08dbfd90c779%7C84df9e7fe9f640afb435aaaaaaaaaaaa%7C1%7C0%7C638382570530352505%7CUnknown%7CTWFpbGZsb3d8eyJWIjoiMC4wLjAwMDAiLCJQIjoiV2luMzIiLCJBTiI6Ik1haWwiLCJXVCI6Mn0%3D%7C3000%7C%7C%7C&amp;sdata=nSMU6CLoEZ4mJGPZ9efRvphPKoF7i6PthtZCqxmsqTE%3D&amp;reserved=0" xr:uid="{83BCCD21-1B06-4DF9-A573-B5AE89418006}"/>
    <hyperlink ref="B25" r:id="rId43" xr:uid="{EABC69B6-1A4F-479D-8377-BF1A36AB68D6}"/>
    <hyperlink ref="B19" r:id="rId44" xr:uid="{3CEF2CA5-1139-4A43-8E60-5389E449D60B}"/>
    <hyperlink ref="B18" r:id="rId45" xr:uid="{8CAC4B89-D4B7-47C9-B480-F74B9FF0F3F0}"/>
    <hyperlink ref="B53" r:id="rId46" xr:uid="{A6CEDF2B-85AC-481B-8D17-341BD8704909}"/>
    <hyperlink ref="B50" r:id="rId47" xr:uid="{F0F2623D-56FF-4E77-8E3C-70AB36D24A98}"/>
    <hyperlink ref="B54" r:id="rId48" xr:uid="{90E515B5-18E8-45E5-ACC3-EFEBD20E2C03}"/>
    <hyperlink ref="B121" r:id="rId49" display="https://socialsignalai.com/" xr:uid="{30B40013-A90F-4AC1-AA2F-D7344C455C66}"/>
    <hyperlink ref="B103" r:id="rId50" xr:uid="{609BF3AA-CE8E-41AA-881D-511727DC71FF}"/>
    <hyperlink ref="B37" r:id="rId51" xr:uid="{2B14113A-88CB-4455-9FE0-5AEE9F70E347}"/>
    <hyperlink ref="B66" r:id="rId52" xr:uid="{5E28A780-60AB-4CFB-8517-74A9DCF5BBB5}"/>
    <hyperlink ref="B128" r:id="rId53" xr:uid="{B4003074-9B5C-4F7E-A989-3BDD5DD33C17}"/>
    <hyperlink ref="B129" r:id="rId54" xr:uid="{2D9FBA95-3C0A-4F83-B260-CF2516B2D282}"/>
    <hyperlink ref="B130" r:id="rId55" xr:uid="{DB02FC35-C1B2-4B30-BC69-D36DEA1D7A81}"/>
    <hyperlink ref="B131" r:id="rId56" xr:uid="{0B7ABFA8-4681-4FFA-A951-086FBC27F47B}"/>
    <hyperlink ref="B137" r:id="rId57" display="https://na01.safelinks.protection.outlook.com/?url=https%3A%2F%2Flink.mail.beehiiv.com%2Fss%2Fc%2FkTklpAxml3EW3RaiF8_gQqIjyYEFngk-0d_d8EEW4-U4v0_EIYy2n3_-AvZuV6rDQIoImcmg_yF4BQqAPx1D82p3kzyoQVMUOmqqbulxkyR5wIDwEX9zqR5SFXCAqqhJlaBrzzBbPBCaFisB7ioSktgneEswHdCVfBPzosMm1TJbw0BwSvnwIXkwjeHDNkkK_fCJyRYdzOpeFg0bDI5xZA%2F43p%2FjvHr-I6eRUCnOzE4IDkryQ%2Fh10%2Fy7FmrYAXTjs0IBKr56wrXu6gdF26C8bIh_m8KUq23tc&amp;data=05%7C02%7C%7C5cce792f15a54dfab9b808dc2992240f%7C84df9e7fe9f640afb435aaaaaaaaaaaa%7C1%7C0%7C638430954878855100%7CUnknown%7CTWFpbGZsb3d8eyJWIjoiMC4wLjAwMDAiLCJQIjoiV2luMzIiLCJBTiI6Ik1haWwiLCJXVCI6Mn0%3D%7C0%7C%7C%7C&amp;sdata=jjLrf3O1odjgBQFu5Rf4VaNw%2Fgi9dRlfT7lzjw95ggc%3D&amp;reserved=0" xr:uid="{70333029-193F-4F89-80FB-D683F871E258}"/>
    <hyperlink ref="B139" r:id="rId58" display="https://na01.safelinks.protection.outlook.com/?url=https%3A%2F%2Flink.mail.beehiiv.com%2Fss%2Fc%2Fi142ipyW89EI2-TL2DD4FJAI8C1_wfjuaWeHIxPtYriTeB5oc1_8Uz5LQudTHoZF3tnsH4xAtpAL4xtyvHJuuCabRlU3YqnSErgz6cH7x4zVcc-oMv3KHHR-Ji9GAQTAwF-GH3Du2yrTsk7Sjm3ly_OnOMCvyTWuY5ATPl7DBzunYy3XJwoE-3TkNlbIpooLRgKahelVyDpvfKJgaZQkFQ%2F437%2F4vbfGtooTOG-XpTsrdoYDw%2Fh13%2FynK-_2chNyvkvGx3EHz14d0KJpCuoxahx6H3Y4CUenM&amp;data=05%7C02%7C%7C86c4e1f9c72b4f721b0308dc1b6c231b%7C84df9e7fe9f640afb435aaaaaaaaaaaa%7C1%7C0%7C638415398499272685%7CUnknown%7CTWFpbGZsb3d8eyJWIjoiMC4wLjAwMDAiLCJQIjoiV2luMzIiLCJBTiI6Ik1haWwiLCJXVCI6Mn0%3D%7C3000%7C%7C%7C&amp;sdata=mVNZmZ3dIwWPvbSYtH8C%2FjhYNnH7ynBpSJVuNlMUIJE%3D&amp;reserved=0" xr:uid="{E860D4D2-1361-46EB-A7EE-9038ED5E4CE1}"/>
    <hyperlink ref="A139" r:id="rId59" display="https://na01.safelinks.protection.outlook.com/?url=https%3A%2F%2Flink.mail.beehiiv.com%2Fss%2Fc%2Fi142ipyW89EI2-TL2DD4FJAI8C1_wfjuaWeHIxPtYriTeB5oc1_8Uz5LQudTHoZF3tnsH4xAtpAL4xtyvHJuuCabRlU3YqnSErgz6cH7x4zVcc-oMv3KHHR-Ji9GAQTAwF-GH3Du2yrTsk7Sjm3ly_OnOMCvyTWuY5ATPl7DBzunYy3XJwoE-3TkNlbIpooLRgKahelVyDpvfKJgaZQkFQ%2F437%2F4vbfGtooTOG-XpTsrdoYDw%2Fh13%2FynK-_2chNyvkvGx3EHz14d0KJpCuoxahx6H3Y4CUenM&amp;data=05%7C02%7C%7C86c4e1f9c72b4f721b0308dc1b6c231b%7C84df9e7fe9f640afb435aaaaaaaaaaaa%7C1%7C0%7C638415398499272685%7CUnknown%7CTWFpbGZsb3d8eyJWIjoiMC4wLjAwMDAiLCJQIjoiV2luMzIiLCJBTiI6Ik1haWwiLCJXVCI6Mn0%3D%7C3000%7C%7C%7C&amp;sdata=mVNZmZ3dIwWPvbSYtH8C%2FjhYNnH7ynBpSJVuNlMUIJE%3D&amp;reserved=0" xr:uid="{52991A33-4C19-4E5A-97A5-E6F09FBA548D}"/>
    <hyperlink ref="B140" r:id="rId60" display="https://na01.safelinks.protection.outlook.com/?url=https%3A%2F%2Flink.mail.beehiiv.com%2Fss%2Fc%2FAFHHY18NT0_ddKuYrElMRu224FS-M3i6cn2QtB65WavqgkwZQHx4m9hr1qcZskjuQN9pF6HhFJzyje_TrpYntZuShTAgSd1xIQxFBbiX3I1BY593bXXWILDwGFb2hCrRjAD1YHb0okEZjpxMW45XPuwmW-Q-RvLQ7w8MrKDcIzeKhQvZvdor6w-OD3PlMbumj5DBUIWhBWSq10eAwD5s2A%2F43g%2FQcjk83mMQvO9rrwO7Q77Sg%2Fh9%2FXfKOLPhuj0xXiSQc9kh0_lUAyxfunRhNqEukoG3rfMI&amp;data=05%7C02%7C%7C10d9f89712e243b44f0908dc2283399d%7C84df9e7fe9f640afb435aaaaaaaaaaaa%7C1%7C0%7C638423194224376466%7CUnknown%7CTWFpbGZsb3d8eyJWIjoiMC4wLjAwMDAiLCJQIjoiV2luMzIiLCJBTiI6Ik1haWwiLCJXVCI6Mn0%3D%7C0%7C%7C%7C&amp;sdata=Pnhn1m2m3w3J44jD67YjRtEk8OCvyyUM%2B%2FGKD52y%2Fq4%3D&amp;reserved=0" xr:uid="{B85F7E8D-48BE-4C0F-BA68-81B0E2D5E675}"/>
    <hyperlink ref="B149" r:id="rId61" display="https://na01.safelinks.protection.outlook.com/?url=https%3A%2F%2Flink.mail.beehiiv.com%2Fss%2Fc%2FAFHHY18NT0_ddKuYrElMRktAG-8McQlycZv0qziENIfQLKOV7ewomo_OXwWh4fWipcIACqPPxXr9CllHuJmgOnCIlUKtJnZhKqkNOIkYVvv7tfTGv65F3763AAHRVVH_iFZrIF3sp3F_j287aAthBQmSMiC6BRS2Bx1uI0tkhF8SX8UIK3pyhHMdwO-rhleTXRpWTdRa9uxTQmUVwssNRQ%2F429%2Fh2pqv3d1RQ67Bfh-NIiP1A%2Fh22%2FZedfm5Rh_AWCTnBp-E3DBr2x-Lg44I5-6Y3-2rcXLGQ&amp;data=05%7C02%7C%7C217feb6faf81474831eb08dc00b512fe%7C84df9e7fe9f640afb435aaaaaaaaaaaa%7C1%7C0%7C638386025021750710%7CUnknown%7CTWFpbGZsb3d8eyJWIjoiMC4wLjAwMDAiLCJQIjoiV2luMzIiLCJBTiI6Ik1haWwiLCJXVCI6Mn0%3D%7C3000%7C%7C%7C&amp;sdata=NmEFua0kC5NsZltrgFxJrO4fAx65h6ZPoxsGVBXNu%2FI%3D&amp;reserved=0" xr:uid="{FA1E3DE7-55CB-4340-8870-B41854262EA2}"/>
    <hyperlink ref="B148" r:id="rId62" display="https://na01.safelinks.protection.outlook.com/?url=https%3A%2F%2Flink.mail.beehiiv.com%2Fss%2Fc%2F0wlcaBm-wAGbfh-p66fdvPxpgRFzpmv9sceUg7k23kAqDmXT5WFSwF-7Y3D-2AFEaPOtEOOivuJGHwjwXpERw8q4oUKQWU4SEqlMRS5JCqRseCc7LNHjJuPIdxXqWLghaCNMo5NLRfy0n1H5nWSnTSN1S4pm3Q7Hq3KXCQbHnwz0AJOMAW3TCLFMXjxO6opXyLKrm9FECUfLvRinDh3fGMgJDhtT7WOOsk8LtAITKlKmV_wHsG4spkbcAV-S8_T9%2F43h%2F7OxjGHLcTgywXbs0oXNXLQ%2Fh7%2FXHpJGcA70bsbMVSZI_UHNItm8AWFKQYWKfxHren1p-g&amp;data=05%7C02%7C%7C92b5a0b457a44f6603dd08dc23488154%7C84df9e7fe9f640afb435aaaaaaaaaaaa%7C1%7C0%7C638424041549924397%7CUnknown%7CTWFpbGZsb3d8eyJWIjoiMC4wLjAwMDAiLCJQIjoiV2luMzIiLCJBTiI6Ik1haWwiLCJXVCI6Mn0%3D%7C0%7C%7C%7C&amp;sdata=a6FuwgkWqaVCigSY%2FhfoyQ0yKnKJ2KB7wRo5xAt%2FxPQ%3D&amp;reserved=0" xr:uid="{D79B29A5-8BB2-4454-93B7-D697F238A4C9}"/>
    <hyperlink ref="B147" r:id="rId63" display="https://na01.safelinks.protection.outlook.com/?url=https%3A%2F%2Flink.mail.beehiiv.com%2Fss%2Fc%2FmRpFJppvZP-Kc2DMS078G0DfOtsk0nvR6J4GJ6flD1WVmKdUsDBRHSOIkKCv4HvHUD5JxyMN_XQCov7mmYXtc3ac_6Pso05VT9YouRHjdDG0lFvygXbkQBkWmtbdM9L7rUiO5vKCF3CF9FXv2VZzFN56uoIBZFNQNGhpRsPruPQtnl5rJ35Ru6khmydvOB7lnmjtuDeRHbuZk969SdrkHA%2F43n%2FiO-pL6SiSOqAXUwE07J6jg%2Fh12%2FFwjUMWKtdfh47-WQO5_GBrC31c-M6KxmDSeo25BTzaY&amp;data=05%7C02%7C%7Ccf9a69073011423d7bb908dc280386ca%7C84df9e7fe9f640afb435aaaaaaaaaaaa%7C1%7C0%7C638429242852236115%7CUnknown%7CTWFpbGZsb3d8eyJWIjoiMC4wLjAwMDAiLCJQIjoiV2luMzIiLCJBTiI6Ik1haWwiLCJXVCI6Mn0%3D%7C0%7C%7C%7C&amp;sdata=%2BkT%2Fn8TwaFKj%2BkqIpUllMrfcwF29mkLdu9ivvk0c1k0%3D&amp;reserved=0" xr:uid="{3312B019-387E-43BB-BF25-3161F19C7D50}"/>
    <hyperlink ref="A149" r:id="rId64" display="https://na01.safelinks.protection.outlook.com/?url=https%3A%2F%2Flink.mail.beehiiv.com%2Fss%2Fc%2FAFHHY18NT0_ddKuYrElMRktAG-8McQlycZv0qziENIfQLKOV7ewomo_OXwWh4fWipcIACqPPxXr9CllHuJmgOnCIlUKtJnZhKqkNOIkYVvv7tfTGv65F3763AAHRVVH_iFZrIF3sp3F_j287aAthBQmSMiC6BRS2Bx1uI0tkhF8SX8UIK3pyhHMdwO-rhleTXRpWTdRa9uxTQmUVwssNRQ%2F429%2Fh2pqv3d1RQ67Bfh-NIiP1A%2Fh22%2FZedfm5Rh_AWCTnBp-E3DBr2x-Lg44I5-6Y3-2rcXLGQ&amp;data=05%7C02%7C%7C217feb6faf81474831eb08dc00b512fe%7C84df9e7fe9f640afb435aaaaaaaaaaaa%7C1%7C0%7C638386025021750710%7CUnknown%7CTWFpbGZsb3d8eyJWIjoiMC4wLjAwMDAiLCJQIjoiV2luMzIiLCJBTiI6Ik1haWwiLCJXVCI6Mn0%3D%7C3000%7C%7C%7C&amp;sdata=NmEFua0kC5NsZltrgFxJrO4fAx65h6ZPoxsGVBXNu%2FI%3D&amp;reserved=0" xr:uid="{246B44F7-330A-4BE0-8CE5-316030D9A4DB}"/>
    <hyperlink ref="A148" r:id="rId65" display="https://na01.safelinks.protection.outlook.com/?url=https%3A%2F%2Flink.mail.beehiiv.com%2Fss%2Fc%2F0wlcaBm-wAGbfh-p66fdvPxpgRFzpmv9sceUg7k23kAqDmXT5WFSwF-7Y3D-2AFEaPOtEOOivuJGHwjwXpERw8q4oUKQWU4SEqlMRS5JCqRseCc7LNHjJuPIdxXqWLghaCNMo5NLRfy0n1H5nWSnTSN1S4pm3Q7Hq3KXCQbHnwz0AJOMAW3TCLFMXjxO6opXyLKrm9FECUfLvRinDh3fGMgJDhtT7WOOsk8LtAITKlKmV_wHsG4spkbcAV-S8_T9%2F43h%2F7OxjGHLcTgywXbs0oXNXLQ%2Fh7%2FXHpJGcA70bsbMVSZI_UHNItm8AWFKQYWKfxHren1p-g&amp;data=05%7C02%7C%7C92b5a0b457a44f6603dd08dc23488154%7C84df9e7fe9f640afb435aaaaaaaaaaaa%7C1%7C0%7C638424041549924397%7CUnknown%7CTWFpbGZsb3d8eyJWIjoiMC4wLjAwMDAiLCJQIjoiV2luMzIiLCJBTiI6Ik1haWwiLCJXVCI6Mn0%3D%7C0%7C%7C%7C&amp;sdata=a6FuwgkWqaVCigSY%2FhfoyQ0yKnKJ2KB7wRo5xAt%2FxPQ%3D&amp;reserved=0" xr:uid="{7701D7C4-3923-4950-BDD4-BCAAF9EBB7B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Ramiro Quiros</dc:creator>
  <cp:keywords/>
  <dc:description/>
  <cp:lastModifiedBy/>
  <cp:revision/>
  <dcterms:created xsi:type="dcterms:W3CDTF">2025-05-20T19:14:32Z</dcterms:created>
  <dcterms:modified xsi:type="dcterms:W3CDTF">2026-03-06T21:47:22Z</dcterms:modified>
  <cp:category/>
  <cp:contentStatus/>
</cp:coreProperties>
</file>